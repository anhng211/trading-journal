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ettings" sheetId="2" state="visible" r:id="rId4"/>
    <sheet name="Decisions" sheetId="3" state="visible" r:id="rId5"/>
    <sheet name="Trades" sheetId="4" state="visible" r:id="rId6"/>
    <sheet name="CashEvents" sheetId="5" state="visible" r:id="rId7"/>
    <sheet name="Prices" sheetId="6" state="visible" r:id="rId8"/>
    <sheet name="Snapshots" sheetId="7" state="visible" r:id="rId9"/>
    <sheet name="Dashboard" sheetId="8" state="visible" r:id="rId10"/>
    <sheet name="XRay" sheetId="9" state="visible" r:id="rId11"/>
    <sheet name="Reconcili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<sst xmlns="http://schemas.openxmlformats.org/spreadsheetml/2006/main" count="381" uniqueCount="265">
  <si>
    <t xml:space="preserve">Trading &amp; Investment Journal — Workbook Guide (Procedures)</t>
  </si>
  <si>
    <t xml:space="preserve">CONVENTIONS</t>
  </si>
  <si>
    <t xml:space="preserve">BLUE cells = you type. BLACK cells = calculated, do not edit. GREEN cells (Reconciliation) = links to other sheets. YELLOW = editable slot headers / key assumptions.</t>
  </si>
  <si>
    <t xml:space="preserve">Dates: enter as YYYY-MM-DD. Keep ONE decision per date (the app orders by timestamp; this workbook splits before/after by date).</t>
  </si>
  <si>
    <t xml:space="preserve">The workbook ships with the app demo data so every formula is visibly working and reconciles against the app. To start fresh: clear the blue data rows on Decisions, Trades, CashEvents and Snapshots (keep headers), then set Settings and Prices to your own.</t>
  </si>
  <si>
    <t xml:space="preserve">P1 — ONE-TIME SETUP</t>
  </si>
  <si>
    <t xml:space="preserve">1</t>
  </si>
  <si>
    <t xml:space="preserve">Open Settings: enter Starting cash (cash at inception), Benchmark ticker (SPY recommended) and Risk-free rate (used by Sharpe).</t>
  </si>
  <si>
    <t xml:space="preserve">2</t>
  </si>
  <si>
    <t xml:space="preserve">Open Prices: one row per ticker you own or track — current price, sector, type (stock/etf). The benchmark needs a row too.</t>
  </si>
  <si>
    <t xml:space="preserve">3</t>
  </si>
  <si>
    <t xml:space="preserve">Already own holdings? Add one "Buy" row per holding on Trades (date bought or today, price = your average cost), all under one Decision ID (e.g. D-000), plus a matching "Opening portfolio" row on Decisions. This mirrors the app's "Set up your portfolio" — its ghost value equals starting cash, so it reads "your holdings vs staying in cash".</t>
  </si>
  <si>
    <t xml:space="preserve">P2 — RECORD A DECISION (the core loop)</t>
  </si>
  <si>
    <t xml:space="preserve">Decisions sheet: new row — next ID (D-004, D-005…), date, title, confidence 1–5, tags, your thesis, and what you expect to happen.</t>
  </si>
  <si>
    <t xml:space="preserve">Trades sheet: one row per executed trade with the SAME Decision ID and the same date.</t>
  </si>
  <si>
    <t xml:space="preserve">Read the decision row: Ghost value (portfolio if you had done nothing), Acted value (portfolio after the trades) and Decision value ($ and %) fill automatically at CURRENT prices.</t>
  </si>
  <si>
    <t xml:space="preserve">P3 — RECORD DEPOSITS &amp; WITHDRAWALS</t>
  </si>
  <si>
    <t xml:space="preserve">CashEvents sheet: date, type (Deposit/Withdrawal), amount, note. Never put trades here. Deposits are excluded from returns — adding money never counts as gains.</t>
  </si>
  <si>
    <t xml:space="preserve">P4 — UPDATE PRICES (weekly routine; this grows your statistics)</t>
  </si>
  <si>
    <t xml:space="preserve">Prices sheet: update Current price for every ticker including the benchmark.</t>
  </si>
  <si>
    <t xml:space="preserve">Snapshots sheet: add ONE new row directly under the last filled row (no gaps): date + price per ticker column + benchmark price. Shares, cash, value, returns compute automatically (prefilled to row 40).</t>
  </si>
  <si>
    <t xml:space="preserve">Risk statistics appear from 6 snapshots and firm up as history grows. The app is identical: each "Refresh prices" adds one snapshot.</t>
  </si>
  <si>
    <t xml:space="preserve">4</t>
  </si>
  <si>
    <t xml:space="preserve">Past row 40: fill the last row's formulas (columns M–AE) downward, and extend the Dashboard chart range.</t>
  </si>
  <si>
    <t xml:space="preserve">P5 — READ THE DASHBOARD</t>
  </si>
  <si>
    <t xml:space="preserve">Account block: Portfolio value, Free funds, Invested, Unrealized/Realized P/L, Net deposits, Total return (vs net deposits), and "All decisions vs doing nothing".</t>
  </si>
  <si>
    <t xml:space="preserve">Holdings table: shares, average cost, price, value, weight, sector per ticker. Equity chart plots the Snapshots value column.</t>
  </si>
  <si>
    <t xml:space="preserve">P6 — X-RAY REVIEW (monthly)</t>
  </si>
  <si>
    <t xml:space="preserve">Sharpe: risk-adjusted return; &gt;1 is good, &gt;2 excellent — but only meaningful with months of snapshots.</t>
  </si>
  <si>
    <t xml:space="preserve">Beta: ≈1 moves with the benchmark, &lt;1 defensive, &gt;1 amplified. Alpha: return above what your Beta alone would earn (CAPM). R²: how much the benchmark explains your moves.</t>
  </si>
  <si>
    <t xml:space="preserve">Max drawdown: worst peak-to-trough of the time-weighted index. Concentration: effective holdings and largest-position weight. Sectors: complete once every ticker has a sector on Prices.</t>
  </si>
  <si>
    <t xml:space="preserve">P7 — REVIEW A DECISION</t>
  </si>
  <si>
    <t xml:space="preserve">When a decision comes due, fill Review grade (A–F) and notes on its Decisions row. Grade the reasoning, not just the outcome.</t>
  </si>
  <si>
    <t xml:space="preserve">P8 — RECONCILE WITH THE APP</t>
  </si>
  <si>
    <t xml:space="preserve">In the app (https://anhng211.github.io/trading-journal/): Settings → Load demo data. This workbook ships with the same dataset.</t>
  </si>
  <si>
    <t xml:space="preserve">Open the Reconciliation sheet: every row compares an app figure to this workbook's formula. All Status cells must read PASS.</t>
  </si>
  <si>
    <t xml:space="preserve">Running both with real data: after each app action, mirror it here (decision → Decisions + Trades; deposit → CashEvents; price refresh → Prices + one Snapshots row), then spot-check Portfolio value, Free funds and Total return.</t>
  </si>
  <si>
    <t xml:space="preserve">P9 — ADD A NEW TICKER (3 places)</t>
  </si>
  <si>
    <t xml:space="preserve">Prices: add a row (ticker, price, sector, type).</t>
  </si>
  <si>
    <t xml:space="preserve">Snapshots: type the ticker into an empty YELLOW slot header (F3–K3).</t>
  </si>
  <si>
    <t xml:space="preserve">Dashboard: type the ticker into an empty Holdings row (A20–A24).</t>
  </si>
  <si>
    <t xml:space="preserve">P10 — LIMITATIONS VS THE APP</t>
  </si>
  <si>
    <t xml:space="preserve">Visuals: only the equity chart is included (no slopegraph / ghost-chart graphics).</t>
  </si>
  <si>
    <t xml:space="preserve">Cost basis: buying again AFTER a partial sell approximates average cost at later sales (the app computes the sequential weighted average). All-buys-then-sells is exact.</t>
  </si>
  <si>
    <t xml:space="preserve">Snapshots must be contiguous and dated ascending; one decision per date. Full list on the Reconciliation sheet.</t>
  </si>
  <si>
    <t xml:space="preserve">Settings</t>
  </si>
  <si>
    <t xml:space="preserve">Blue cells are inputs; everything else in the workbook calculates from them.</t>
  </si>
  <si>
    <t xml:space="preserve">Starting cash ($)</t>
  </si>
  <si>
    <t xml:space="preserve">Cash at inception, before any trades or cash events. App: Settings → Initial deposit.</t>
  </si>
  <si>
    <t xml:space="preserve">Benchmark ticker</t>
  </si>
  <si>
    <t xml:space="preserve">SPY</t>
  </si>
  <si>
    <t xml:space="preserve">Beta/Alpha/R² compare against this. Fill its price in EVERY Snapshots row (column L).</t>
  </si>
  <si>
    <t xml:space="preserve">Risk-free rate (annual)</t>
  </si>
  <si>
    <t xml:space="preserve">Used by the Sharpe ratio. App: X-Ray → "Risk-free %/yr".</t>
  </si>
  <si>
    <t xml:space="preserve">Demo anchor date</t>
  </si>
  <si>
    <t xml:space="preserve">Demo dates are fixed relative to this day. The app regenerates demo dates relative to "today"; day-offsets are identical, so statistics match.</t>
  </si>
  <si>
    <t xml:space="preserve">Source: app demo dataset (src/lib/demo.ts), values verified in the app UI on 2026-07-01.</t>
  </si>
  <si>
    <t xml:space="preserve">Decisions — the journaling unit</t>
  </si>
  <si>
    <t xml:space="preserve">One row per decision; its trades live on the Trades sheet under the same Decision ID. Ghost/Acted/Decision value are calculated at CURRENT prices: "what you did" vs "if you had done nothing".</t>
  </si>
  <si>
    <t xml:space="preserve">Decision ID</t>
  </si>
  <si>
    <t xml:space="preserve">Date</t>
  </si>
  <si>
    <t xml:space="preserve">Title</t>
  </si>
  <si>
    <t xml:space="preserve">Confidence (1-5)</t>
  </si>
  <si>
    <t xml:space="preserve">Tags</t>
  </si>
  <si>
    <t xml:space="preserve">Thesis</t>
  </si>
  <si>
    <t xml:space="preserve">Expected</t>
  </si>
  <si>
    <t xml:space="preserve">Review grade</t>
  </si>
  <si>
    <t xml:space="preserve">Review notes</t>
  </si>
  <si>
    <t xml:space="preserve">Ghost value ($)</t>
  </si>
  <si>
    <t xml:space="preserve">Acted value ($)</t>
  </si>
  <si>
    <t xml:space="preserve">Decision value ($)</t>
  </si>
  <si>
    <t xml:space="preserve">Decision value (%)</t>
  </si>
  <si>
    <t xml:space="preserve">D-001</t>
  </si>
  <si>
    <t xml:space="preserve">Build the core portfolio</t>
  </si>
  <si>
    <t xml:space="preserve">core, long-term</t>
  </si>
  <si>
    <t xml:space="preserve">Broad-market core (VOO) plus AAPL quality compounding and INTC as a cheap turnaround bet.</t>
  </si>
  <si>
    <t xml:space="preserve">Beat cash over 12 months; INTC is the speculative sleeve.</t>
  </si>
  <si>
    <t xml:space="preserve">D-002</t>
  </si>
  <si>
    <t xml:space="preserve">Rotate INTC into NVDA</t>
  </si>
  <si>
    <t xml:space="preserve">rotation, semis</t>
  </si>
  <si>
    <t xml:space="preserve">INTC turnaround broke — foundry losses widening. Rotate into NVDA: datacenter demand under-modeled.</t>
  </si>
  <si>
    <t xml:space="preserve">NVDA outperforms INTC by 15%+ over 6 months.</t>
  </si>
  <si>
    <t xml:space="preserve">A</t>
  </si>
  <si>
    <t xml:space="preserve">Right call, right reason. Cut broken theses fast.</t>
  </si>
  <si>
    <t xml:space="preserve">D-003</t>
  </si>
  <si>
    <t xml:space="preserve">Trim AAPL, start MSFT</t>
  </si>
  <si>
    <t xml:space="preserve">trim, rebalance</t>
  </si>
  <si>
    <t xml:space="preserve">AAPL grew past target weight; recycle a third into MSFT for Azure/AI exposure.</t>
  </si>
  <si>
    <t xml:space="preserve">MSFT roughly matches AAPL; diversification, not alpha.</t>
  </si>
  <si>
    <t xml:space="preserve">Trades — every buy and sell</t>
  </si>
  <si>
    <t xml:space="preserve">Each row belongs to a decision (Decision ID). Columns I–L are calculated.</t>
  </si>
  <si>
    <t xml:space="preserve">Trade ID</t>
  </si>
  <si>
    <t xml:space="preserve">Ticker</t>
  </si>
  <si>
    <t xml:space="preserve">Side (Buy/Sell)</t>
  </si>
  <si>
    <t xml:space="preserve">Shares</t>
  </si>
  <si>
    <t xml:space="preserve">Price ($)</t>
  </si>
  <si>
    <t xml:space="preserve">Fees ($)</t>
  </si>
  <si>
    <t xml:space="preserve">Signed shares</t>
  </si>
  <si>
    <t xml:space="preserve">Cash flow ($)</t>
  </si>
  <si>
    <t xml:space="preserve">Avg cost @ sale ($)</t>
  </si>
  <si>
    <t xml:space="preserve">Realized P/L ($)</t>
  </si>
  <si>
    <t xml:space="preserve">T-01</t>
  </si>
  <si>
    <t xml:space="preserve">VOO</t>
  </si>
  <si>
    <t xml:space="preserve">Buy</t>
  </si>
  <si>
    <t xml:space="preserve">T-02</t>
  </si>
  <si>
    <t xml:space="preserve">AAPL</t>
  </si>
  <si>
    <t xml:space="preserve">T-03</t>
  </si>
  <si>
    <t xml:space="preserve">INTC</t>
  </si>
  <si>
    <t xml:space="preserve">T-04</t>
  </si>
  <si>
    <t xml:space="preserve">Sell</t>
  </si>
  <si>
    <t xml:space="preserve">T-05</t>
  </si>
  <si>
    <t xml:space="preserve">NVDA</t>
  </si>
  <si>
    <t xml:space="preserve">T-06</t>
  </si>
  <si>
    <t xml:space="preserve">T-07</t>
  </si>
  <si>
    <t xml:space="preserve">MSFT</t>
  </si>
  <si>
    <t xml:space="preserve">Cash Events — deposits &amp; withdrawals</t>
  </si>
  <si>
    <t xml:space="preserve">External money in/out only (trades never go here). Signed amount is calculated.</t>
  </si>
  <si>
    <t xml:space="preserve">Type (Deposit/Withdrawal)</t>
  </si>
  <si>
    <t xml:space="preserve">Amount ($)</t>
  </si>
  <si>
    <t xml:space="preserve">Note</t>
  </si>
  <si>
    <t xml:space="preserve">Signed ($)</t>
  </si>
  <si>
    <t xml:space="preserve">Deposit</t>
  </si>
  <si>
    <t xml:space="preserve">Monthly savings top-up</t>
  </si>
  <si>
    <t xml:space="preserve">Prices — current quote per ticker</t>
  </si>
  <si>
    <t xml:space="preserve">Update Price on every refresh. Sector &amp; Type feed the X-Ray (the app auto-fills these from Finnhub; here you type them).</t>
  </si>
  <si>
    <t xml:space="preserve">Current price ($)</t>
  </si>
  <si>
    <t xml:space="preserve">Sector</t>
  </si>
  <si>
    <t xml:space="preserve">Type (stock/etf)</t>
  </si>
  <si>
    <t xml:space="preserve">ETF / Fund</t>
  </si>
  <si>
    <t xml:space="preserve">etf</t>
  </si>
  <si>
    <t xml:space="preserve">Technology</t>
  </si>
  <si>
    <t xml:space="preserve">stock</t>
  </si>
  <si>
    <t xml:space="preserve">Semiconductors</t>
  </si>
  <si>
    <t xml:space="preserve">Software</t>
  </si>
  <si>
    <t xml:space="preserve">Source: app demo price cache (last snapshot, 2026-06-30).</t>
  </si>
  <si>
    <t xml:space="preserve">Snapshots — price history (one row per refresh)</t>
  </si>
  <si>
    <t xml:space="preserve">Enter date + prices (blue). Yellow headers B3:K3 are editable ticker slots. Everything from M onward is calculated: shares held, cash, value, flow-adjusted returns, drawdown.</t>
  </si>
  <si>
    <t xml:space="preserve">Benchmark (SPY)</t>
  </si>
  <si>
    <t xml:space="preserve">Cash ($)</t>
  </si>
  <si>
    <t xml:space="preserve">Portfolio value ($)</t>
  </si>
  <si>
    <t xml:space="preserve">Net flow ($)</t>
  </si>
  <si>
    <t xml:space="preserve">Portfolio return</t>
  </si>
  <si>
    <t xml:space="preserve">Benchmark return</t>
  </si>
  <si>
    <t xml:space="preserve">TWR index</t>
  </si>
  <si>
    <t xml:space="preserve">Peak</t>
  </si>
  <si>
    <t xml:space="preserve">Drawdown</t>
  </si>
  <si>
    <t xml:space="preserve">Bench index</t>
  </si>
  <si>
    <t xml:space="preserve">Dashboard — account &amp; holdings</t>
  </si>
  <si>
    <t xml:space="preserve">All calculated. Mirrors the app Dashboard (Trading 212-style figures).</t>
  </si>
  <si>
    <t xml:space="preserve">Free funds / cash ($)</t>
  </si>
  <si>
    <t xml:space="preserve">Invested — cost basis ($)</t>
  </si>
  <si>
    <t xml:space="preserve">Unrealized P/L ($)</t>
  </si>
  <si>
    <t xml:space="preserve">Net deposits ($)</t>
  </si>
  <si>
    <t xml:space="preserve">Total return ($)</t>
  </si>
  <si>
    <t xml:space="preserve">Total return (%)</t>
  </si>
  <si>
    <t xml:space="preserve">All decisions vs doing nothing ($)</t>
  </si>
  <si>
    <t xml:space="preserve">Avg cost ($)</t>
  </si>
  <si>
    <t xml:space="preserve">Value ($)</t>
  </si>
  <si>
    <t xml:space="preserve">Cost basis ($)</t>
  </si>
  <si>
    <t xml:space="preserve">Weight (incl cash)</t>
  </si>
  <si>
    <t xml:space="preserve">Securities total</t>
  </si>
  <si>
    <t xml:space="preserve">Cash</t>
  </si>
  <si>
    <t xml:space="preserve">X-Ray — risk statistics, concentration, composition</t>
  </si>
  <si>
    <t xml:space="preserve">Same math as the app: flow-adjusted time-weighted returns per snapshot interval, annualized by observed frequency.</t>
  </si>
  <si>
    <t xml:space="preserve">RISK STATISTICS (vs benchmark)</t>
  </si>
  <si>
    <t xml:space="preserve">Observations (intervals)</t>
  </si>
  <si>
    <t xml:space="preserve">Snapshot-to-snapshot returns available.</t>
  </si>
  <si>
    <t xml:space="preserve">Snapshots</t>
  </si>
  <si>
    <t xml:space="preserve">Span (days)</t>
  </si>
  <si>
    <t xml:space="preserve">First to last snapshot.</t>
  </si>
  <si>
    <t xml:space="preserve">Observations per year</t>
  </si>
  <si>
    <t xml:space="preserve">Annualization frequency.</t>
  </si>
  <si>
    <t xml:space="preserve">Mean return / interval</t>
  </si>
  <si>
    <t xml:space="preserve">Std dev / interval</t>
  </si>
  <si>
    <t xml:space="preserve">Annualized return (TWR)</t>
  </si>
  <si>
    <t xml:space="preserve">CAGR of the chained index — deposits excluded.</t>
  </si>
  <si>
    <t xml:space="preserve">Annualized volatility</t>
  </si>
  <si>
    <t xml:space="preserve">Std dev × √(obs/year).</t>
  </si>
  <si>
    <t xml:space="preserve">Sharpe ratio</t>
  </si>
  <si>
    <t xml:space="preserve">Excess return per unit of risk.</t>
  </si>
  <si>
    <t xml:space="preserve">Max drawdown</t>
  </si>
  <si>
    <t xml:space="preserve">Worst peak-to-trough of the TWR index.</t>
  </si>
  <si>
    <t xml:space="preserve">Beta</t>
  </si>
  <si>
    <t xml:space="preserve">Regression slope vs benchmark returns.</t>
  </si>
  <si>
    <t xml:space="preserve">R²</t>
  </si>
  <si>
    <t xml:space="preserve">Share of moves explained by the benchmark.</t>
  </si>
  <si>
    <t xml:space="preserve">Benchmark annualized return</t>
  </si>
  <si>
    <t xml:space="preserve">Alpha (Jensen, annualized)</t>
  </si>
  <si>
    <t xml:space="preserve">Return above CAPM expectation.</t>
  </si>
  <si>
    <t xml:space="preserve">CONCENTRATION</t>
  </si>
  <si>
    <t xml:space="preserve">Positions</t>
  </si>
  <si>
    <t xml:space="preserve">Effective holdings (1/Herfindahl)</t>
  </si>
  <si>
    <t xml:space="preserve">Largest position (weight)</t>
  </si>
  <si>
    <t xml:space="preserve">Top 3 combined (weight)</t>
  </si>
  <si>
    <t xml:space="preserve">Weight (securities only)</t>
  </si>
  <si>
    <t xml:space="preserve">SECTORS (weight among securities)</t>
  </si>
  <si>
    <t xml:space="preserve">Weight</t>
  </si>
  <si>
    <t xml:space="preserve">Tag each ticker's sector on the Prices sheet; add sector names here (blue) as needed.</t>
  </si>
  <si>
    <t xml:space="preserve">Reconciliation — this workbook vs the app</t>
  </si>
  <si>
    <t xml:space="preserve">Column C: values shown by the app with the same demo data (read from the app UI, 2026-07-01 — display-rounded). Column D: this workbook's live formulas. Every Status must read PASS.</t>
  </si>
  <si>
    <t xml:space="preserve">Metric</t>
  </si>
  <si>
    <t xml:space="preserve">App screen</t>
  </si>
  <si>
    <t xml:space="preserve">App shows</t>
  </si>
  <si>
    <t xml:space="preserve">Workbook computes</t>
  </si>
  <si>
    <t xml:space="preserve">Difference</t>
  </si>
  <si>
    <t xml:space="preserve">Tolerance</t>
  </si>
  <si>
    <t xml:space="preserve">Status</t>
  </si>
  <si>
    <t xml:space="preserve">Portfolio value</t>
  </si>
  <si>
    <t xml:space="preserve">Dashboard</t>
  </si>
  <si>
    <t xml:space="preserve">Free funds (cash)</t>
  </si>
  <si>
    <t xml:space="preserve">Invested (cost basis)</t>
  </si>
  <si>
    <t xml:space="preserve">Unrealized P/L</t>
  </si>
  <si>
    <t xml:space="preserve">Realized P/L</t>
  </si>
  <si>
    <t xml:space="preserve">Net deposits</t>
  </si>
  <si>
    <t xml:space="preserve">All decisions vs doing nothing</t>
  </si>
  <si>
    <t xml:space="preserve">D-001 vs doing nothing (%)</t>
  </si>
  <si>
    <t xml:space="preserve">Decisions list</t>
  </si>
  <si>
    <t xml:space="preserve">D-002 decision value ($)</t>
  </si>
  <si>
    <t xml:space="preserve">Decision detail</t>
  </si>
  <si>
    <t xml:space="preserve">D-002 vs doing nothing (%)</t>
  </si>
  <si>
    <t xml:space="preserve">D-003 vs doing nothing (%)</t>
  </si>
  <si>
    <t xml:space="preserve">Allocation — VOO</t>
  </si>
  <si>
    <t xml:space="preserve">Allocation donut</t>
  </si>
  <si>
    <t xml:space="preserve">Allocation — AAPL</t>
  </si>
  <si>
    <t xml:space="preserve">Allocation — NVDA</t>
  </si>
  <si>
    <t xml:space="preserve">Allocation — MSFT</t>
  </si>
  <si>
    <t xml:space="preserve">Allocation — Cash</t>
  </si>
  <si>
    <t xml:space="preserve">X-Ray</t>
  </si>
  <si>
    <t xml:space="preserve">Alpha (annualized)</t>
  </si>
  <si>
    <t xml:space="preserve">Volatility (annualized)</t>
  </si>
  <si>
    <t xml:space="preserve">Effective holdings</t>
  </si>
  <si>
    <t xml:space="preserve">Largest position</t>
  </si>
  <si>
    <t xml:space="preserve">Top 3 combined</t>
  </si>
  <si>
    <t xml:space="preserve">Sector — ETF / Fund</t>
  </si>
  <si>
    <t xml:space="preserve">Sector — Technology</t>
  </si>
  <si>
    <t xml:space="preserve">Sector — Semiconductors</t>
  </si>
  <si>
    <t xml:space="preserve">Sector — Software</t>
  </si>
  <si>
    <t xml:space="preserve">METHOD MAPPING — where each app calculation lives in this workbook</t>
  </si>
  <si>
    <t xml:space="preserve">Workbook location</t>
  </si>
  <si>
    <t xml:space="preserve">App feature</t>
  </si>
  <si>
    <t xml:space="preserve">App source function</t>
  </si>
  <si>
    <t xml:space="preserve">Trades + CashEvents + Settings</t>
  </si>
  <si>
    <t xml:space="preserve">Ledger: positions, cash, realized P/L, net deposits</t>
  </si>
  <si>
    <t xml:space="preserve">replayLedger() in src/lib/portfolio.ts</t>
  </si>
  <si>
    <t xml:space="preserve">Dashboard tab: account figures, holdings, weights</t>
  </si>
  <si>
    <t xml:space="preserve">portfolioValue(), costBasis()</t>
  </si>
  <si>
    <t xml:space="preserve">Decisions J:M</t>
  </si>
  <si>
    <t xml:space="preserve">Decision detail: ghost (just before) vs acted (just after), valued at current prices</t>
  </si>
  <si>
    <t xml:space="preserve">decisionOutcome()</t>
  </si>
  <si>
    <t xml:space="preserve">Snapshots Z:AE</t>
  </si>
  <si>
    <t xml:space="preserve">Equity curve + return series: flow-adjusted time-weighted returns per interval</t>
  </si>
  <si>
    <t xml:space="preserve">intervalReturns() in src/lib/analytics.ts</t>
  </si>
  <si>
    <t xml:space="preserve">XRay risk block</t>
  </si>
  <si>
    <t xml:space="preserve">X-Ray: vol = sd×√(obs/yr); Sharpe = (mean−rf/ppy)/sd×√ppy; CAGR from chained index; Beta/R² regression; Jensen alpha</t>
  </si>
  <si>
    <t xml:space="preserve">riskStats()</t>
  </si>
  <si>
    <t xml:space="preserve">XRay concentration &amp; sectors</t>
  </si>
  <si>
    <t xml:space="preserve">X-Ray: Herfindahl effective holdings; sector weights among securities</t>
  </si>
  <si>
    <t xml:space="preserve">concentration(), sectorBreakdown()</t>
  </si>
  <si>
    <t xml:space="preserve">ASSUMPTIONS &amp; KNOWN DIFFERENCES</t>
  </si>
  <si>
    <t xml:space="preserve">1. App demo dates regenerate relative to "today"; this workbook fixes them to anchor 2026-07-01 with identical day-offsets, so every statistic matches.</t>
  </si>
  <si>
    <t xml:space="preserve">2. "App shows" values were read from the app UI (display-rounded); tolerances cover that rounding only.</t>
  </si>
  <si>
    <t xml:space="preserve">3. Ghost values: the app freezes the ghost snapshot when a decision is created; the workbook recomputes it from the ledger — equivalent for normal decisions. The app's synthetic "Opening portfolio" forces an all-cash ghost; here an opening decision's ghost is starting cash, which is the same thing.</t>
  </si>
  <si>
    <t xml:space="preserve">4. Average cost at sale is exact when buys precede sells per ticker; buying again after a partial sell is approximated (app: sequential weighted average).</t>
  </si>
  <si>
    <t xml:space="preserve">5. Ghost/acted split uses dates (&lt; vs &lt;=); the app uses timestamps — keep one decision per date.</t>
  </si>
  <si>
    <t xml:space="preserve">6. The app collapses price refreshes within 30 minutes into one snapshot; here every Snapshots row is one observation.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</si>
</sst>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.0%;\(0.0%\);\-"/>
    <numFmt numFmtId="167" formatCode="yyyy\-mm\-dd"/>
    <numFmt numFmtId="168" formatCode="#,##0.##;\(#,##0.##\);\-"/>
    <numFmt numFmtId="169" formatCode="\$#,##0.00;&quot;($&quot;#,##0.00\);\-"/>
    <numFmt numFmtId="170" formatCode="0.00;\(0.00\);\-"/>
    <numFmt numFmtId="171" formatCode="\$#,##0"/>
    <numFmt numFmtId="172" formatCode="0"/>
    <numFmt numFmtId="173" formatCode="0.0;\(0.0\);\-"/>
    <numFmt numFmtId="174" formatCode="0.000%"/>
    <numFmt numFmtId="175" formatCode="0.####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6627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E7A4F"/>
      </font>
      <fill>
        <patternFill>
          <bgColor rgb="FFE2F3EA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DEC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E7A4F"/>
      <rgbColor rgb="FFC0C0C0"/>
      <rgbColor rgb="FF878787"/>
      <rgbColor rgb="FF6F96E8"/>
      <rgbColor rgb="FF993366"/>
      <rgbColor rgb="FFFDECEA"/>
      <rgbColor rgb="FFE2F3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D5FC9"/>
      <rgbColor rgb="FF14B8A6"/>
      <rgbColor rgb="FF99CC00"/>
      <rgbColor rgb="FFFFCC00"/>
      <rgbColor rgb="FFE2A83D"/>
      <rgbColor rgb="FFFF6600"/>
      <rgbColor rgb="FF56627A"/>
      <rgbColor rgb="FF8B5CF6"/>
      <rgbColor rgb="FF003366"/>
      <rgbColor rgb="FF4A7EBB"/>
      <rgbColor rgb="FF003300"/>
      <rgbColor rgb="FF333300"/>
      <rgbColor rgb="FFC039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Equity curve (portfolio value at each snapshot)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Snapshots!X3</c:f>
              <c:strCache>
                <c:ptCount val="1"/>
                <c:pt idx="0">
                  <c:v>Portfolio value ($)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Snapshots!$A$4:$A$10</c:f>
              <c:strCache>
                <c:ptCount val="7"/>
                <c:pt idx="0">
                  <c:v>2026-04-17</c:v>
                </c:pt>
                <c:pt idx="1">
                  <c:v>2026-05-02</c:v>
                </c:pt>
                <c:pt idx="2">
                  <c:v>2026-05-18</c:v>
                </c:pt>
                <c:pt idx="3">
                  <c:v>2026-06-01</c:v>
                </c:pt>
                <c:pt idx="4">
                  <c:v>2026-06-18</c:v>
                </c:pt>
                <c:pt idx="5">
                  <c:v>2026-06-24</c:v>
                </c:pt>
                <c:pt idx="6">
                  <c:v>2026-06-30</c:v>
                </c:pt>
              </c:strCache>
            </c:strRef>
          </c:cat>
          <c:val>
            <c:numRef>
              <c:f>Snapshots!$X$4:$X$10</c:f>
              <c:numCache>
                <c:formatCode>\$#,##0;"($"#,##0\);\-</c:formatCode>
                <c:ptCount val="7"/>
                <c:pt idx="0">
                  <c:v>25050</c:v>
                </c:pt>
                <c:pt idx="1">
                  <c:v>25130</c:v>
                </c:pt>
                <c:pt idx="2">
                  <c:v>25120</c:v>
                </c:pt>
                <c:pt idx="3">
                  <c:v>28360</c:v>
                </c:pt>
                <c:pt idx="4">
                  <c:v>28572</c:v>
                </c:pt>
                <c:pt idx="5">
                  <c:v>28724</c:v>
                </c:pt>
                <c:pt idx="6">
                  <c:v>28846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118049"/>
        <c:axId val="81001262"/>
      </c:lineChart>
      <c:catAx>
        <c:axId val="61118049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001262"/>
        <c:crosses val="autoZero"/>
        <c:auto val="1"/>
        <c:lblAlgn val="ctr"/>
        <c:lblOffset val="100"/>
        <c:noMultiLvlLbl val="0"/>
      </c:catAx>
      <c:valAx>
        <c:axId val="810012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1180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6</xdr:col>
      <xdr:colOff>714960</xdr:colOff>
      <xdr:row>43</xdr:row>
      <xdr:rowOff>22320</xdr:rowOff>
    </xdr:to>
    <xdr:graphicFrame>
      <xdr:nvGraphicFramePr>
        <xdr:cNvPr id="1" name="Chart 1"/>
        <xdr:cNvGraphicFramePr/>
      </xdr:nvGraphicFramePr>
      <xdr:xfrm>
        <a:off x="0" y="54763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FC9"/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5.5" hidden="false" customHeight="true" outlineLevel="0" collapsed="false">
      <c r="A4" s="3"/>
      <c r="B4" s="4" t="s">
        <v>2</v>
      </c>
    </row>
    <row r="5" customFormat="false" ht="25.5" hidden="false" customHeight="true" outlineLevel="0" collapsed="false">
      <c r="A5" s="3"/>
      <c r="B5" s="4" t="s">
        <v>3</v>
      </c>
    </row>
    <row r="6" customFormat="false" ht="39" hidden="false" customHeight="true" outlineLevel="0" collapsed="false">
      <c r="A6" s="3"/>
      <c r="B6" s="4" t="s">
        <v>4</v>
      </c>
    </row>
    <row r="7" customFormat="false" ht="15" hidden="false" customHeight="false" outlineLevel="0" collapsed="false">
      <c r="A7" s="2" t="s">
        <v>5</v>
      </c>
    </row>
    <row r="8" customFormat="false" ht="25.5" hidden="false" customHeight="true" outlineLevel="0" collapsed="false">
      <c r="A8" s="3" t="s">
        <v>6</v>
      </c>
      <c r="B8" s="4" t="s">
        <v>7</v>
      </c>
    </row>
    <row r="9" customFormat="false" ht="25.5" hidden="false" customHeight="true" outlineLevel="0" collapsed="false">
      <c r="A9" s="3" t="s">
        <v>8</v>
      </c>
      <c r="B9" s="4" t="s">
        <v>9</v>
      </c>
    </row>
    <row r="10" customFormat="false" ht="51.75" hidden="false" customHeight="true" outlineLevel="0" collapsed="false">
      <c r="A10" s="3" t="s">
        <v>10</v>
      </c>
      <c r="B10" s="4" t="s">
        <v>11</v>
      </c>
    </row>
    <row r="11" customFormat="false" ht="15" hidden="false" customHeight="false" outlineLevel="0" collapsed="false">
      <c r="A11" s="2" t="s">
        <v>12</v>
      </c>
    </row>
    <row r="12" customFormat="false" ht="25.5" hidden="false" customHeight="true" outlineLevel="0" collapsed="false">
      <c r="A12" s="3" t="s">
        <v>6</v>
      </c>
      <c r="B12" s="4" t="s">
        <v>13</v>
      </c>
    </row>
    <row r="13" customFormat="false" ht="12.75" hidden="false" customHeight="true" outlineLevel="0" collapsed="false">
      <c r="A13" s="3" t="s">
        <v>8</v>
      </c>
      <c r="B13" s="4" t="s">
        <v>14</v>
      </c>
    </row>
    <row r="14" customFormat="false" ht="25.5" hidden="false" customHeight="true" outlineLevel="0" collapsed="false">
      <c r="A14" s="3" t="s">
        <v>10</v>
      </c>
      <c r="B14" s="4" t="s">
        <v>15</v>
      </c>
    </row>
    <row r="15" customFormat="false" ht="15" hidden="false" customHeight="false" outlineLevel="0" collapsed="false">
      <c r="A15" s="2" t="s">
        <v>16</v>
      </c>
    </row>
    <row r="16" customFormat="false" ht="25.5" hidden="false" customHeight="true" outlineLevel="0" collapsed="false">
      <c r="A16" s="3" t="s">
        <v>6</v>
      </c>
      <c r="B16" s="4" t="s">
        <v>17</v>
      </c>
    </row>
    <row r="17" customFormat="false" ht="15" hidden="false" customHeight="false" outlineLevel="0" collapsed="false">
      <c r="A17" s="2" t="s">
        <v>18</v>
      </c>
    </row>
    <row r="18" customFormat="false" ht="12.75" hidden="false" customHeight="true" outlineLevel="0" collapsed="false">
      <c r="A18" s="3" t="s">
        <v>6</v>
      </c>
      <c r="B18" s="4" t="s">
        <v>19</v>
      </c>
    </row>
    <row r="19" customFormat="false" ht="39" hidden="false" customHeight="true" outlineLevel="0" collapsed="false">
      <c r="A19" s="3" t="s">
        <v>8</v>
      </c>
      <c r="B19" s="4" t="s">
        <v>20</v>
      </c>
    </row>
    <row r="20" customFormat="false" ht="25.5" hidden="false" customHeight="true" outlineLevel="0" collapsed="false">
      <c r="A20" s="3" t="s">
        <v>10</v>
      </c>
      <c r="B20" s="4" t="s">
        <v>21</v>
      </c>
    </row>
    <row r="21" customFormat="false" ht="25.5" hidden="false" customHeight="true" outlineLevel="0" collapsed="false">
      <c r="A21" s="3" t="s">
        <v>22</v>
      </c>
      <c r="B21" s="4" t="s">
        <v>23</v>
      </c>
    </row>
    <row r="22" customFormat="false" ht="15" hidden="false" customHeight="false" outlineLevel="0" collapsed="false">
      <c r="A22" s="2" t="s">
        <v>24</v>
      </c>
    </row>
    <row r="23" customFormat="false" ht="25.5" hidden="false" customHeight="true" outlineLevel="0" collapsed="false">
      <c r="A23" s="3" t="s">
        <v>6</v>
      </c>
      <c r="B23" s="4" t="s">
        <v>25</v>
      </c>
    </row>
    <row r="24" customFormat="false" ht="25.5" hidden="false" customHeight="true" outlineLevel="0" collapsed="false">
      <c r="A24" s="3" t="s">
        <v>8</v>
      </c>
      <c r="B24" s="4" t="s">
        <v>26</v>
      </c>
    </row>
    <row r="25" customFormat="false" ht="15" hidden="false" customHeight="false" outlineLevel="0" collapsed="false">
      <c r="A25" s="2" t="s">
        <v>27</v>
      </c>
    </row>
    <row r="26" customFormat="false" ht="25.5" hidden="false" customHeight="true" outlineLevel="0" collapsed="false">
      <c r="A26" s="3" t="s">
        <v>6</v>
      </c>
      <c r="B26" s="4" t="s">
        <v>28</v>
      </c>
    </row>
    <row r="27" customFormat="false" ht="25.5" hidden="false" customHeight="true" outlineLevel="0" collapsed="false">
      <c r="A27" s="3" t="s">
        <v>8</v>
      </c>
      <c r="B27" s="4" t="s">
        <v>29</v>
      </c>
    </row>
    <row r="28" customFormat="false" ht="25.5" hidden="false" customHeight="true" outlineLevel="0" collapsed="false">
      <c r="A28" s="3" t="s">
        <v>10</v>
      </c>
      <c r="B28" s="4" t="s">
        <v>30</v>
      </c>
    </row>
    <row r="29" customFormat="false" ht="15" hidden="false" customHeight="false" outlineLevel="0" collapsed="false">
      <c r="A29" s="2" t="s">
        <v>31</v>
      </c>
    </row>
    <row r="30" customFormat="false" ht="25.5" hidden="false" customHeight="true" outlineLevel="0" collapsed="false">
      <c r="A30" s="3" t="s">
        <v>6</v>
      </c>
      <c r="B30" s="4" t="s">
        <v>32</v>
      </c>
    </row>
    <row r="31" customFormat="false" ht="15" hidden="false" customHeight="false" outlineLevel="0" collapsed="false">
      <c r="A31" s="2" t="s">
        <v>33</v>
      </c>
    </row>
    <row r="32" customFormat="false" ht="25.5" hidden="false" customHeight="true" outlineLevel="0" collapsed="false">
      <c r="A32" s="3" t="s">
        <v>6</v>
      </c>
      <c r="B32" s="4" t="s">
        <v>34</v>
      </c>
    </row>
    <row r="33" customFormat="false" ht="25.5" hidden="false" customHeight="true" outlineLevel="0" collapsed="false">
      <c r="A33" s="3" t="s">
        <v>8</v>
      </c>
      <c r="B33" s="4" t="s">
        <v>35</v>
      </c>
    </row>
    <row r="34" customFormat="false" ht="39" hidden="false" customHeight="true" outlineLevel="0" collapsed="false">
      <c r="A34" s="3" t="s">
        <v>10</v>
      </c>
      <c r="B34" s="4" t="s">
        <v>36</v>
      </c>
    </row>
    <row r="35" customFormat="false" ht="15" hidden="false" customHeight="false" outlineLevel="0" collapsed="false">
      <c r="A35" s="2" t="s">
        <v>37</v>
      </c>
    </row>
    <row r="36" customFormat="false" ht="12.75" hidden="false" customHeight="true" outlineLevel="0" collapsed="false">
      <c r="A36" s="3" t="s">
        <v>6</v>
      </c>
      <c r="B36" s="4" t="s">
        <v>38</v>
      </c>
    </row>
    <row r="37" customFormat="false" ht="12.75" hidden="false" customHeight="true" outlineLevel="0" collapsed="false">
      <c r="A37" s="3" t="s">
        <v>8</v>
      </c>
      <c r="B37" s="4" t="s">
        <v>39</v>
      </c>
    </row>
    <row r="38" customFormat="false" ht="12.75" hidden="false" customHeight="true" outlineLevel="0" collapsed="false">
      <c r="A38" s="3" t="s">
        <v>10</v>
      </c>
      <c r="B38" s="4" t="s">
        <v>40</v>
      </c>
    </row>
    <row r="39" customFormat="false" ht="15" hidden="false" customHeight="false" outlineLevel="0" collapsed="false">
      <c r="A39" s="2" t="s">
        <v>41</v>
      </c>
    </row>
    <row r="40" customFormat="false" ht="12.75" hidden="false" customHeight="true" outlineLevel="0" collapsed="false">
      <c r="A40" s="3" t="s">
        <v>6</v>
      </c>
      <c r="B40" s="4" t="s">
        <v>42</v>
      </c>
    </row>
    <row r="41" customFormat="false" ht="25.5" hidden="false" customHeight="true" outlineLevel="0" collapsed="false">
      <c r="A41" s="3" t="s">
        <v>8</v>
      </c>
      <c r="B41" s="4" t="s">
        <v>43</v>
      </c>
    </row>
    <row r="42" customFormat="false" ht="25.5" hidden="false" customHeight="true" outlineLevel="0" collapsed="false">
      <c r="A42" s="3" t="s">
        <v>10</v>
      </c>
      <c r="B42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6627A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5" t="s">
        <v>46</v>
      </c>
    </row>
    <row r="4" customFormat="false" ht="15" hidden="false" customHeight="false" outlineLevel="0" collapsed="false">
      <c r="A4" s="3" t="s">
        <v>47</v>
      </c>
      <c r="B4" s="6" t="n">
        <v>25000</v>
      </c>
      <c r="C4" s="5" t="s">
        <v>48</v>
      </c>
    </row>
    <row r="5" customFormat="false" ht="15" hidden="false" customHeight="false" outlineLevel="0" collapsed="false">
      <c r="A5" s="3" t="s">
        <v>49</v>
      </c>
      <c r="B5" s="7" t="s">
        <v>50</v>
      </c>
      <c r="C5" s="5" t="s">
        <v>51</v>
      </c>
    </row>
    <row r="6" customFormat="false" ht="15" hidden="false" customHeight="false" outlineLevel="0" collapsed="false">
      <c r="A6" s="3" t="s">
        <v>52</v>
      </c>
      <c r="B6" s="8" t="n">
        <v>0.04</v>
      </c>
      <c r="C6" s="5" t="s">
        <v>53</v>
      </c>
    </row>
    <row r="7" customFormat="false" ht="15" hidden="false" customHeight="false" outlineLevel="0" collapsed="false">
      <c r="A7" s="3" t="s">
        <v>54</v>
      </c>
      <c r="B7" s="9" t="n">
        <v>46204</v>
      </c>
      <c r="C7" s="5" t="s">
        <v>55</v>
      </c>
    </row>
    <row r="9" customFormat="false" ht="15" hidden="false" customHeight="false" outlineLevel="0" collapsed="false">
      <c r="A9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1" min="10" style="0" width="13"/>
    <col collapsed="false" customWidth="true" hidden="false" outlineLevel="0" max="13" min="12" style="0" width="14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5" t="s">
        <v>58</v>
      </c>
    </row>
    <row r="3" customFormat="false" ht="23.85" hidden="false" customHeight="false" outlineLevel="0" collapsed="false">
      <c r="A3" s="10" t="s">
        <v>59</v>
      </c>
      <c r="B3" s="10" t="s">
        <v>60</v>
      </c>
      <c r="C3" s="10" t="s">
        <v>61</v>
      </c>
      <c r="D3" s="10" t="s">
        <v>62</v>
      </c>
      <c r="E3" s="10" t="s">
        <v>63</v>
      </c>
      <c r="F3" s="10" t="s">
        <v>64</v>
      </c>
      <c r="G3" s="10" t="s">
        <v>65</v>
      </c>
      <c r="H3" s="10" t="s">
        <v>66</v>
      </c>
      <c r="I3" s="10" t="s">
        <v>67</v>
      </c>
      <c r="J3" s="10" t="s">
        <v>68</v>
      </c>
      <c r="K3" s="10" t="s">
        <v>69</v>
      </c>
      <c r="L3" s="10" t="s">
        <v>70</v>
      </c>
      <c r="M3" s="10" t="s">
        <v>71</v>
      </c>
    </row>
    <row r="4" customFormat="false" ht="23.85" hidden="false" customHeight="false" outlineLevel="0" collapsed="false">
      <c r="A4" s="11" t="s">
        <v>72</v>
      </c>
      <c r="B4" s="12" t="n">
        <v>46114</v>
      </c>
      <c r="C4" s="11" t="s">
        <v>73</v>
      </c>
      <c r="D4" s="11" t="n">
        <v>4</v>
      </c>
      <c r="E4" s="11" t="s">
        <v>74</v>
      </c>
      <c r="F4" s="13" t="s">
        <v>75</v>
      </c>
      <c r="G4" s="13" t="s">
        <v>76</v>
      </c>
      <c r="H4" s="11"/>
      <c r="I4" s="13"/>
      <c r="J4" s="14" t="n">
        <f aca="false">IF($A4="","",Settings!$B$4+SUMIFS(CashEvents!$E$4:$E$30,CashEvents!$A$4:$A$30,"&lt;"&amp;$B4)+SUMIFS(Trades!$J$4:$J$40,Trades!$B$4:$B$40,"&lt;"&amp;$B4)+SUMPRODUCT(SUMIFS(Trades!$I$4:$I$40,Trades!$D$4:$D$40,Prices!$A$4:$A$13,Trades!$B$4:$B$40,"&lt;"&amp;$B4),Prices!$B$4:$B$13))</f>
        <v>25000</v>
      </c>
      <c r="K4" s="14" t="n">
        <f aca="false">IF($A4="","",Settings!$B$4+SUMIFS(CashEvents!$E$4:$E$30,CashEvents!$A$4:$A$30,"&lt;="&amp;$B4)+SUMIFS(Trades!$J$4:$J$40,Trades!$B$4:$B$40,"&lt;="&amp;$B4)+SUMPRODUCT(SUMIFS(Trades!$I$4:$I$40,Trades!$D$4:$D$40,Prices!$A$4:$A$13,Trades!$B$4:$B$40,"&lt;="&amp;$B4),Prices!$B$4:$B$13))</f>
        <v>25385</v>
      </c>
      <c r="L4" s="14" t="n">
        <f aca="false">IF($A4="","",$K4-$J4)</f>
        <v>385</v>
      </c>
      <c r="M4" s="15" t="n">
        <f aca="false">IF($A4="","",IFERROR($L4/$J4,""))</f>
        <v>0.0154</v>
      </c>
    </row>
    <row r="5" customFormat="false" ht="23.85" hidden="false" customHeight="false" outlineLevel="0" collapsed="false">
      <c r="A5" s="11" t="s">
        <v>77</v>
      </c>
      <c r="B5" s="12" t="n">
        <v>46159</v>
      </c>
      <c r="C5" s="11" t="s">
        <v>78</v>
      </c>
      <c r="D5" s="11" t="n">
        <v>4</v>
      </c>
      <c r="E5" s="11" t="s">
        <v>79</v>
      </c>
      <c r="F5" s="13" t="s">
        <v>80</v>
      </c>
      <c r="G5" s="13" t="s">
        <v>81</v>
      </c>
      <c r="H5" s="11" t="s">
        <v>82</v>
      </c>
      <c r="I5" s="13" t="s">
        <v>83</v>
      </c>
      <c r="J5" s="14" t="n">
        <f aca="false">IF($A5="","",Settings!$B$4+SUMIFS(CashEvents!$E$4:$E$30,CashEvents!$A$4:$A$30,"&lt;"&amp;$B5)+SUMIFS(Trades!$J$4:$J$40,Trades!$B$4:$B$40,"&lt;"&amp;$B5)+SUMPRODUCT(SUMIFS(Trades!$I$4:$I$40,Trades!$D$4:$D$40,Prices!$A$4:$A$13,Trades!$B$4:$B$40,"&lt;"&amp;$B5),Prices!$B$4:$B$13))</f>
        <v>25385</v>
      </c>
      <c r="K5" s="14" t="n">
        <f aca="false">IF($A5="","",Settings!$B$4+SUMIFS(CashEvents!$E$4:$E$30,CashEvents!$A$4:$A$30,"&lt;="&amp;$B5)+SUMIFS(Trades!$J$4:$J$40,Trades!$B$4:$B$40,"&lt;="&amp;$B5)+SUMPRODUCT(SUMIFS(Trades!$I$4:$I$40,Trades!$D$4:$D$40,Prices!$A$4:$A$13,Trades!$B$4:$B$40,"&lt;="&amp;$B5),Prices!$B$4:$B$13))</f>
        <v>25835</v>
      </c>
      <c r="L5" s="14" t="n">
        <f aca="false">IF($A5="","",$K5-$J5)</f>
        <v>450</v>
      </c>
      <c r="M5" s="15" t="n">
        <f aca="false">IF($A5="","",IFERROR($L5/$J5,""))</f>
        <v>0.017727004136301</v>
      </c>
    </row>
    <row r="6" customFormat="false" ht="23.85" hidden="false" customHeight="false" outlineLevel="0" collapsed="false">
      <c r="A6" s="11" t="s">
        <v>84</v>
      </c>
      <c r="B6" s="12" t="n">
        <v>46190</v>
      </c>
      <c r="C6" s="11" t="s">
        <v>85</v>
      </c>
      <c r="D6" s="11" t="n">
        <v>2</v>
      </c>
      <c r="E6" s="11" t="s">
        <v>86</v>
      </c>
      <c r="F6" s="13" t="s">
        <v>87</v>
      </c>
      <c r="G6" s="13" t="s">
        <v>88</v>
      </c>
      <c r="H6" s="11"/>
      <c r="I6" s="13"/>
      <c r="J6" s="14" t="n">
        <f aca="false">IF($A6="","",Settings!$B$4+SUMIFS(CashEvents!$E$4:$E$30,CashEvents!$A$4:$A$30,"&lt;"&amp;$B6)+SUMIFS(Trades!$J$4:$J$40,Trades!$B$4:$B$40,"&lt;"&amp;$B6)+SUMPRODUCT(SUMIFS(Trades!$I$4:$I$40,Trades!$D$4:$D$40,Prices!$A$4:$A$13,Trades!$B$4:$B$40,"&lt;"&amp;$B6),Prices!$B$4:$B$13))</f>
        <v>28835</v>
      </c>
      <c r="K6" s="14" t="n">
        <f aca="false">IF($A6="","",Settings!$B$4+SUMIFS(CashEvents!$E$4:$E$30,CashEvents!$A$4:$A$30,"&lt;="&amp;$B6)+SUMIFS(Trades!$J$4:$J$40,Trades!$B$4:$B$40,"&lt;="&amp;$B6)+SUMPRODUCT(SUMIFS(Trades!$I$4:$I$40,Trades!$D$4:$D$40,Prices!$A$4:$A$13,Trades!$B$4:$B$40,"&lt;="&amp;$B6),Prices!$B$4:$B$13))</f>
        <v>28846</v>
      </c>
      <c r="L6" s="14" t="n">
        <f aca="false">IF($A6="","",$K6-$J6)</f>
        <v>11</v>
      </c>
      <c r="M6" s="15" t="n">
        <f aca="false">IF($A6="","",IFERROR($L6/$J6,""))</f>
        <v>0.000381480839257846</v>
      </c>
    </row>
    <row r="7" customFormat="false" ht="15" hidden="false" customHeight="false" outlineLevel="0" collapsed="false">
      <c r="J7" s="14" t="str">
        <f aca="false">IF($A7="","",Settings!$B$4+SUMIFS(CashEvents!$E$4:$E$30,CashEvents!$A$4:$A$30,"&lt;"&amp;$B7)+SUMIFS(Trades!$J$4:$J$40,Trades!$B$4:$B$40,"&lt;"&amp;$B7)+SUMPRODUCT(SUMIFS(Trades!$I$4:$I$40,Trades!$D$4:$D$40,Prices!$A$4:$A$13,Trades!$B$4:$B$40,"&lt;"&amp;$B7),Prices!$B$4:$B$13))</f>
        <v/>
      </c>
      <c r="K7" s="14" t="str">
        <f aca="false">IF($A7="","",Settings!$B$4+SUMIFS(CashEvents!$E$4:$E$30,CashEvents!$A$4:$A$30,"&lt;="&amp;$B7)+SUMIFS(Trades!$J$4:$J$40,Trades!$B$4:$B$40,"&lt;="&amp;$B7)+SUMPRODUCT(SUMIFS(Trades!$I$4:$I$40,Trades!$D$4:$D$40,Prices!$A$4:$A$13,Trades!$B$4:$B$40,"&lt;="&amp;$B7),Prices!$B$4:$B$13))</f>
        <v/>
      </c>
      <c r="L7" s="14" t="str">
        <f aca="false">IF($A7="","",$K7-$J7)</f>
        <v/>
      </c>
      <c r="M7" s="15" t="str">
        <f aca="false">IF($A7="","",IFERROR($L7/$J7,""))</f>
        <v/>
      </c>
    </row>
    <row r="8" customFormat="false" ht="15" hidden="false" customHeight="false" outlineLevel="0" collapsed="false">
      <c r="J8" s="14" t="str">
        <f aca="false">IF($A8="","",Settings!$B$4+SUMIFS(CashEvents!$E$4:$E$30,CashEvents!$A$4:$A$30,"&lt;"&amp;$B8)+SUMIFS(Trades!$J$4:$J$40,Trades!$B$4:$B$40,"&lt;"&amp;$B8)+SUMPRODUCT(SUMIFS(Trades!$I$4:$I$40,Trades!$D$4:$D$40,Prices!$A$4:$A$13,Trades!$B$4:$B$40,"&lt;"&amp;$B8),Prices!$B$4:$B$13))</f>
        <v/>
      </c>
      <c r="K8" s="14" t="str">
        <f aca="false">IF($A8="","",Settings!$B$4+SUMIFS(CashEvents!$E$4:$E$30,CashEvents!$A$4:$A$30,"&lt;="&amp;$B8)+SUMIFS(Trades!$J$4:$J$40,Trades!$B$4:$B$40,"&lt;="&amp;$B8)+SUMPRODUCT(SUMIFS(Trades!$I$4:$I$40,Trades!$D$4:$D$40,Prices!$A$4:$A$13,Trades!$B$4:$B$40,"&lt;="&amp;$B8),Prices!$B$4:$B$13))</f>
        <v/>
      </c>
      <c r="L8" s="14" t="str">
        <f aca="false">IF($A8="","",$K8-$J8)</f>
        <v/>
      </c>
      <c r="M8" s="15" t="str">
        <f aca="false">IF($A8="","",IFERROR($L8/$J8,""))</f>
        <v/>
      </c>
    </row>
    <row r="9" customFormat="false" ht="15" hidden="false" customHeight="false" outlineLevel="0" collapsed="false">
      <c r="J9" s="14" t="str">
        <f aca="false">IF($A9="","",Settings!$B$4+SUMIFS(CashEvents!$E$4:$E$30,CashEvents!$A$4:$A$30,"&lt;"&amp;$B9)+SUMIFS(Trades!$J$4:$J$40,Trades!$B$4:$B$40,"&lt;"&amp;$B9)+SUMPRODUCT(SUMIFS(Trades!$I$4:$I$40,Trades!$D$4:$D$40,Prices!$A$4:$A$13,Trades!$B$4:$B$40,"&lt;"&amp;$B9),Prices!$B$4:$B$13))</f>
        <v/>
      </c>
      <c r="K9" s="14" t="str">
        <f aca="false">IF($A9="","",Settings!$B$4+SUMIFS(CashEvents!$E$4:$E$30,CashEvents!$A$4:$A$30,"&lt;="&amp;$B9)+SUMIFS(Trades!$J$4:$J$40,Trades!$B$4:$B$40,"&lt;="&amp;$B9)+SUMPRODUCT(SUMIFS(Trades!$I$4:$I$40,Trades!$D$4:$D$40,Prices!$A$4:$A$13,Trades!$B$4:$B$40,"&lt;="&amp;$B9),Prices!$B$4:$B$13))</f>
        <v/>
      </c>
      <c r="L9" s="14" t="str">
        <f aca="false">IF($A9="","",$K9-$J9)</f>
        <v/>
      </c>
      <c r="M9" s="15" t="str">
        <f aca="false">IF($A9="","",IFERROR($L9/$J9,""))</f>
        <v/>
      </c>
    </row>
    <row r="10" customFormat="false" ht="15" hidden="false" customHeight="false" outlineLevel="0" collapsed="false">
      <c r="J10" s="14" t="str">
        <f aca="false">IF($A10="","",Settings!$B$4+SUMIFS(CashEvents!$E$4:$E$30,CashEvents!$A$4:$A$30,"&lt;"&amp;$B10)+SUMIFS(Trades!$J$4:$J$40,Trades!$B$4:$B$40,"&lt;"&amp;$B10)+SUMPRODUCT(SUMIFS(Trades!$I$4:$I$40,Trades!$D$4:$D$40,Prices!$A$4:$A$13,Trades!$B$4:$B$40,"&lt;"&amp;$B10),Prices!$B$4:$B$13))</f>
        <v/>
      </c>
      <c r="K10" s="14" t="str">
        <f aca="false">IF($A10="","",Settings!$B$4+SUMIFS(CashEvents!$E$4:$E$30,CashEvents!$A$4:$A$30,"&lt;="&amp;$B10)+SUMIFS(Trades!$J$4:$J$40,Trades!$B$4:$B$40,"&lt;="&amp;$B10)+SUMPRODUCT(SUMIFS(Trades!$I$4:$I$40,Trades!$D$4:$D$40,Prices!$A$4:$A$13,Trades!$B$4:$B$40,"&lt;="&amp;$B10),Prices!$B$4:$B$13))</f>
        <v/>
      </c>
      <c r="L10" s="14" t="str">
        <f aca="false">IF($A10="","",$K10-$J10)</f>
        <v/>
      </c>
      <c r="M10" s="15" t="str">
        <f aca="false">IF($A10="","",IFERROR($L10/$J10,""))</f>
        <v/>
      </c>
    </row>
    <row r="11" customFormat="false" ht="15" hidden="false" customHeight="false" outlineLevel="0" collapsed="false">
      <c r="J11" s="14" t="str">
        <f aca="false">IF($A11="","",Settings!$B$4+SUMIFS(CashEvents!$E$4:$E$30,CashEvents!$A$4:$A$30,"&lt;"&amp;$B11)+SUMIFS(Trades!$J$4:$J$40,Trades!$B$4:$B$40,"&lt;"&amp;$B11)+SUMPRODUCT(SUMIFS(Trades!$I$4:$I$40,Trades!$D$4:$D$40,Prices!$A$4:$A$13,Trades!$B$4:$B$40,"&lt;"&amp;$B11),Prices!$B$4:$B$13))</f>
        <v/>
      </c>
      <c r="K11" s="14" t="str">
        <f aca="false">IF($A11="","",Settings!$B$4+SUMIFS(CashEvents!$E$4:$E$30,CashEvents!$A$4:$A$30,"&lt;="&amp;$B11)+SUMIFS(Trades!$J$4:$J$40,Trades!$B$4:$B$40,"&lt;="&amp;$B11)+SUMPRODUCT(SUMIFS(Trades!$I$4:$I$40,Trades!$D$4:$D$40,Prices!$A$4:$A$13,Trades!$B$4:$B$40,"&lt;="&amp;$B11),Prices!$B$4:$B$13))</f>
        <v/>
      </c>
      <c r="L11" s="14" t="str">
        <f aca="false">IF($A11="","",$K11-$J11)</f>
        <v/>
      </c>
      <c r="M11" s="15" t="str">
        <f aca="false">IF($A11="","",IFERROR($L11/$J11,""))</f>
        <v/>
      </c>
    </row>
    <row r="12" customFormat="false" ht="15" hidden="false" customHeight="false" outlineLevel="0" collapsed="false">
      <c r="J12" s="14" t="str">
        <f aca="false">IF($A12="","",Settings!$B$4+SUMIFS(CashEvents!$E$4:$E$30,CashEvents!$A$4:$A$30,"&lt;"&amp;$B12)+SUMIFS(Trades!$J$4:$J$40,Trades!$B$4:$B$40,"&lt;"&amp;$B12)+SUMPRODUCT(SUMIFS(Trades!$I$4:$I$40,Trades!$D$4:$D$40,Prices!$A$4:$A$13,Trades!$B$4:$B$40,"&lt;"&amp;$B12),Prices!$B$4:$B$13))</f>
        <v/>
      </c>
      <c r="K12" s="14" t="str">
        <f aca="false">IF($A12="","",Settings!$B$4+SUMIFS(CashEvents!$E$4:$E$30,CashEvents!$A$4:$A$30,"&lt;="&amp;$B12)+SUMIFS(Trades!$J$4:$J$40,Trades!$B$4:$B$40,"&lt;="&amp;$B12)+SUMPRODUCT(SUMIFS(Trades!$I$4:$I$40,Trades!$D$4:$D$40,Prices!$A$4:$A$13,Trades!$B$4:$B$40,"&lt;="&amp;$B12),Prices!$B$4:$B$13))</f>
        <v/>
      </c>
      <c r="L12" s="14" t="str">
        <f aca="false">IF($A12="","",$K12-$J12)</f>
        <v/>
      </c>
      <c r="M12" s="15" t="str">
        <f aca="false">IF($A12="","",IFERROR($L12/$J12,""))</f>
        <v/>
      </c>
    </row>
    <row r="13" customFormat="false" ht="15" hidden="false" customHeight="false" outlineLevel="0" collapsed="false">
      <c r="J13" s="14" t="str">
        <f aca="false">IF($A13="","",Settings!$B$4+SUMIFS(CashEvents!$E$4:$E$30,CashEvents!$A$4:$A$30,"&lt;"&amp;$B13)+SUMIFS(Trades!$J$4:$J$40,Trades!$B$4:$B$40,"&lt;"&amp;$B13)+SUMPRODUCT(SUMIFS(Trades!$I$4:$I$40,Trades!$D$4:$D$40,Prices!$A$4:$A$13,Trades!$B$4:$B$40,"&lt;"&amp;$B13),Prices!$B$4:$B$13))</f>
        <v/>
      </c>
      <c r="K13" s="14" t="str">
        <f aca="false">IF($A13="","",Settings!$B$4+SUMIFS(CashEvents!$E$4:$E$30,CashEvents!$A$4:$A$30,"&lt;="&amp;$B13)+SUMIFS(Trades!$J$4:$J$40,Trades!$B$4:$B$40,"&lt;="&amp;$B13)+SUMPRODUCT(SUMIFS(Trades!$I$4:$I$40,Trades!$D$4:$D$40,Prices!$A$4:$A$13,Trades!$B$4:$B$40,"&lt;="&amp;$B13),Prices!$B$4:$B$13))</f>
        <v/>
      </c>
      <c r="L13" s="14" t="str">
        <f aca="false">IF($A13="","",$K13-$J13)</f>
        <v/>
      </c>
      <c r="M13" s="15" t="str">
        <f aca="false">IF($A13="","",IFERROR($L13/$J13,""))</f>
        <v/>
      </c>
    </row>
    <row r="14" customFormat="false" ht="15" hidden="false" customHeight="false" outlineLevel="0" collapsed="false">
      <c r="J14" s="14" t="str">
        <f aca="false">IF($A14="","",Settings!$B$4+SUMIFS(CashEvents!$E$4:$E$30,CashEvents!$A$4:$A$30,"&lt;"&amp;$B14)+SUMIFS(Trades!$J$4:$J$40,Trades!$B$4:$B$40,"&lt;"&amp;$B14)+SUMPRODUCT(SUMIFS(Trades!$I$4:$I$40,Trades!$D$4:$D$40,Prices!$A$4:$A$13,Trades!$B$4:$B$40,"&lt;"&amp;$B14),Prices!$B$4:$B$13))</f>
        <v/>
      </c>
      <c r="K14" s="14" t="str">
        <f aca="false">IF($A14="","",Settings!$B$4+SUMIFS(CashEvents!$E$4:$E$30,CashEvents!$A$4:$A$30,"&lt;="&amp;$B14)+SUMIFS(Trades!$J$4:$J$40,Trades!$B$4:$B$40,"&lt;="&amp;$B14)+SUMPRODUCT(SUMIFS(Trades!$I$4:$I$40,Trades!$D$4:$D$40,Prices!$A$4:$A$13,Trades!$B$4:$B$40,"&lt;="&amp;$B14),Prices!$B$4:$B$13))</f>
        <v/>
      </c>
      <c r="L14" s="14" t="str">
        <f aca="false">IF($A14="","",$K14-$J14)</f>
        <v/>
      </c>
      <c r="M14" s="15" t="str">
        <f aca="false">IF($A14="","",IFERROR($L14/$J14,""))</f>
        <v/>
      </c>
    </row>
    <row r="15" customFormat="false" ht="15" hidden="false" customHeight="false" outlineLevel="0" collapsed="false">
      <c r="J15" s="14" t="str">
        <f aca="false">IF($A15="","",Settings!$B$4+SUMIFS(CashEvents!$E$4:$E$30,CashEvents!$A$4:$A$30,"&lt;"&amp;$B15)+SUMIFS(Trades!$J$4:$J$40,Trades!$B$4:$B$40,"&lt;"&amp;$B15)+SUMPRODUCT(SUMIFS(Trades!$I$4:$I$40,Trades!$D$4:$D$40,Prices!$A$4:$A$13,Trades!$B$4:$B$40,"&lt;"&amp;$B15),Prices!$B$4:$B$13))</f>
        <v/>
      </c>
      <c r="K15" s="14" t="str">
        <f aca="false">IF($A15="","",Settings!$B$4+SUMIFS(CashEvents!$E$4:$E$30,CashEvents!$A$4:$A$30,"&lt;="&amp;$B15)+SUMIFS(Trades!$J$4:$J$40,Trades!$B$4:$B$40,"&lt;="&amp;$B15)+SUMPRODUCT(SUMIFS(Trades!$I$4:$I$40,Trades!$D$4:$D$40,Prices!$A$4:$A$13,Trades!$B$4:$B$40,"&lt;="&amp;$B15),Prices!$B$4:$B$13))</f>
        <v/>
      </c>
      <c r="L15" s="14" t="str">
        <f aca="false">IF($A15="","",$K15-$J15)</f>
        <v/>
      </c>
      <c r="M15" s="15" t="str">
        <f aca="false">IF($A15="","",IFERROR($L15/$J15,""))</f>
        <v/>
      </c>
    </row>
    <row r="16" customFormat="false" ht="15" hidden="false" customHeight="false" outlineLevel="0" collapsed="false">
      <c r="J16" s="14" t="str">
        <f aca="false">IF($A16="","",Settings!$B$4+SUMIFS(CashEvents!$E$4:$E$30,CashEvents!$A$4:$A$30,"&lt;"&amp;$B16)+SUMIFS(Trades!$J$4:$J$40,Trades!$B$4:$B$40,"&lt;"&amp;$B16)+SUMPRODUCT(SUMIFS(Trades!$I$4:$I$40,Trades!$D$4:$D$40,Prices!$A$4:$A$13,Trades!$B$4:$B$40,"&lt;"&amp;$B16),Prices!$B$4:$B$13))</f>
        <v/>
      </c>
      <c r="K16" s="14" t="str">
        <f aca="false">IF($A16="","",Settings!$B$4+SUMIFS(CashEvents!$E$4:$E$30,CashEvents!$A$4:$A$30,"&lt;="&amp;$B16)+SUMIFS(Trades!$J$4:$J$40,Trades!$B$4:$B$40,"&lt;="&amp;$B16)+SUMPRODUCT(SUMIFS(Trades!$I$4:$I$40,Trades!$D$4:$D$40,Prices!$A$4:$A$13,Trades!$B$4:$B$40,"&lt;="&amp;$B16),Prices!$B$4:$B$13))</f>
        <v/>
      </c>
      <c r="L16" s="14" t="str">
        <f aca="false">IF($A16="","",$K16-$J16)</f>
        <v/>
      </c>
      <c r="M16" s="15" t="str">
        <f aca="false">IF($A16="","",IFERROR($L16/$J16,""))</f>
        <v/>
      </c>
    </row>
    <row r="17" customFormat="false" ht="15" hidden="false" customHeight="false" outlineLevel="0" collapsed="false">
      <c r="J17" s="14" t="str">
        <f aca="false">IF($A17="","",Settings!$B$4+SUMIFS(CashEvents!$E$4:$E$30,CashEvents!$A$4:$A$30,"&lt;"&amp;$B17)+SUMIFS(Trades!$J$4:$J$40,Trades!$B$4:$B$40,"&lt;"&amp;$B17)+SUMPRODUCT(SUMIFS(Trades!$I$4:$I$40,Trades!$D$4:$D$40,Prices!$A$4:$A$13,Trades!$B$4:$B$40,"&lt;"&amp;$B17),Prices!$B$4:$B$13))</f>
        <v/>
      </c>
      <c r="K17" s="14" t="str">
        <f aca="false">IF($A17="","",Settings!$B$4+SUMIFS(CashEvents!$E$4:$E$30,CashEvents!$A$4:$A$30,"&lt;="&amp;$B17)+SUMIFS(Trades!$J$4:$J$40,Trades!$B$4:$B$40,"&lt;="&amp;$B17)+SUMPRODUCT(SUMIFS(Trades!$I$4:$I$40,Trades!$D$4:$D$40,Prices!$A$4:$A$13,Trades!$B$4:$B$40,"&lt;="&amp;$B17),Prices!$B$4:$B$13))</f>
        <v/>
      </c>
      <c r="L17" s="14" t="str">
        <f aca="false">IF($A17="","",$K17-$J17)</f>
        <v/>
      </c>
      <c r="M17" s="15" t="str">
        <f aca="false">IF($A17="","",IFERROR($L17/$J17,""))</f>
        <v/>
      </c>
    </row>
    <row r="18" customFormat="false" ht="15" hidden="false" customHeight="false" outlineLevel="0" collapsed="false">
      <c r="J18" s="14" t="str">
        <f aca="false">IF($A18="","",Settings!$B$4+SUMIFS(CashEvents!$E$4:$E$30,CashEvents!$A$4:$A$30,"&lt;"&amp;$B18)+SUMIFS(Trades!$J$4:$J$40,Trades!$B$4:$B$40,"&lt;"&amp;$B18)+SUMPRODUCT(SUMIFS(Trades!$I$4:$I$40,Trades!$D$4:$D$40,Prices!$A$4:$A$13,Trades!$B$4:$B$40,"&lt;"&amp;$B18),Prices!$B$4:$B$13))</f>
        <v/>
      </c>
      <c r="K18" s="14" t="str">
        <f aca="false">IF($A18="","",Settings!$B$4+SUMIFS(CashEvents!$E$4:$E$30,CashEvents!$A$4:$A$30,"&lt;="&amp;$B18)+SUMIFS(Trades!$J$4:$J$40,Trades!$B$4:$B$40,"&lt;="&amp;$B18)+SUMPRODUCT(SUMIFS(Trades!$I$4:$I$40,Trades!$D$4:$D$40,Prices!$A$4:$A$13,Trades!$B$4:$B$40,"&lt;="&amp;$B18),Prices!$B$4:$B$13))</f>
        <v/>
      </c>
      <c r="L18" s="14" t="str">
        <f aca="false">IF($A18="","",$K18-$J18)</f>
        <v/>
      </c>
      <c r="M18" s="15" t="str">
        <f aca="false">IF($A18="","",IFERROR($L18/$J18,""))</f>
        <v/>
      </c>
    </row>
    <row r="19" customFormat="false" ht="15" hidden="false" customHeight="false" outlineLevel="0" collapsed="false">
      <c r="J19" s="14" t="str">
        <f aca="false">IF($A19="","",Settings!$B$4+SUMIFS(CashEvents!$E$4:$E$30,CashEvents!$A$4:$A$30,"&lt;"&amp;$B19)+SUMIFS(Trades!$J$4:$J$40,Trades!$B$4:$B$40,"&lt;"&amp;$B19)+SUMPRODUCT(SUMIFS(Trades!$I$4:$I$40,Trades!$D$4:$D$40,Prices!$A$4:$A$13,Trades!$B$4:$B$40,"&lt;"&amp;$B19),Prices!$B$4:$B$13))</f>
        <v/>
      </c>
      <c r="K19" s="14" t="str">
        <f aca="false">IF($A19="","",Settings!$B$4+SUMIFS(CashEvents!$E$4:$E$30,CashEvents!$A$4:$A$30,"&lt;="&amp;$B19)+SUMIFS(Trades!$J$4:$J$40,Trades!$B$4:$B$40,"&lt;="&amp;$B19)+SUMPRODUCT(SUMIFS(Trades!$I$4:$I$40,Trades!$D$4:$D$40,Prices!$A$4:$A$13,Trades!$B$4:$B$40,"&lt;="&amp;$B19),Prices!$B$4:$B$13))</f>
        <v/>
      </c>
      <c r="L19" s="14" t="str">
        <f aca="false">IF($A19="","",$K19-$J19)</f>
        <v/>
      </c>
      <c r="M19" s="15" t="str">
        <f aca="false">IF($A19="","",IFERROR($L19/$J19,""))</f>
        <v/>
      </c>
    </row>
    <row r="20" customFormat="false" ht="15" hidden="false" customHeight="false" outlineLevel="0" collapsed="false">
      <c r="J20" s="14" t="str">
        <f aca="false">IF($A20="","",Settings!$B$4+SUMIFS(CashEvents!$E$4:$E$30,CashEvents!$A$4:$A$30,"&lt;"&amp;$B20)+SUMIFS(Trades!$J$4:$J$40,Trades!$B$4:$B$40,"&lt;"&amp;$B20)+SUMPRODUCT(SUMIFS(Trades!$I$4:$I$40,Trades!$D$4:$D$40,Prices!$A$4:$A$13,Trades!$B$4:$B$40,"&lt;"&amp;$B20),Prices!$B$4:$B$13))</f>
        <v/>
      </c>
      <c r="K20" s="14" t="str">
        <f aca="false">IF($A20="","",Settings!$B$4+SUMIFS(CashEvents!$E$4:$E$30,CashEvents!$A$4:$A$30,"&lt;="&amp;$B20)+SUMIFS(Trades!$J$4:$J$40,Trades!$B$4:$B$40,"&lt;="&amp;$B20)+SUMPRODUCT(SUMIFS(Trades!$I$4:$I$40,Trades!$D$4:$D$40,Prices!$A$4:$A$13,Trades!$B$4:$B$40,"&lt;="&amp;$B20),Prices!$B$4:$B$13))</f>
        <v/>
      </c>
      <c r="L20" s="14" t="str">
        <f aca="false">IF($A20="","",$K20-$J20)</f>
        <v/>
      </c>
      <c r="M20" s="15" t="str">
        <f aca="false">IF($A20="","",IFERROR($L20/$J20,""))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15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5" t="s">
        <v>90</v>
      </c>
    </row>
    <row r="3" customFormat="false" ht="23.85" hidden="false" customHeight="false" outlineLevel="0" collapsed="false">
      <c r="A3" s="10" t="s">
        <v>91</v>
      </c>
      <c r="B3" s="10" t="s">
        <v>60</v>
      </c>
      <c r="C3" s="10" t="s">
        <v>59</v>
      </c>
      <c r="D3" s="10" t="s">
        <v>92</v>
      </c>
      <c r="E3" s="10" t="s">
        <v>93</v>
      </c>
      <c r="F3" s="10" t="s">
        <v>94</v>
      </c>
      <c r="G3" s="10" t="s">
        <v>95</v>
      </c>
      <c r="H3" s="10" t="s">
        <v>96</v>
      </c>
      <c r="I3" s="10" t="s">
        <v>97</v>
      </c>
      <c r="J3" s="10" t="s">
        <v>98</v>
      </c>
      <c r="K3" s="10" t="s">
        <v>99</v>
      </c>
      <c r="L3" s="10" t="s">
        <v>100</v>
      </c>
    </row>
    <row r="4" customFormat="false" ht="15" hidden="false" customHeight="false" outlineLevel="0" collapsed="false">
      <c r="A4" s="7" t="s">
        <v>101</v>
      </c>
      <c r="B4" s="9" t="n">
        <v>46114</v>
      </c>
      <c r="C4" s="7" t="s">
        <v>72</v>
      </c>
      <c r="D4" s="7" t="s">
        <v>102</v>
      </c>
      <c r="E4" s="7" t="s">
        <v>103</v>
      </c>
      <c r="F4" s="16" t="n">
        <v>20</v>
      </c>
      <c r="G4" s="17" t="n">
        <v>480</v>
      </c>
      <c r="H4" s="17" t="n">
        <v>0</v>
      </c>
      <c r="I4" s="18" t="n">
        <f aca="false">IF($D4="","",IF($E4="Buy",$F4,-$F4))</f>
        <v>20</v>
      </c>
      <c r="J4" s="14" t="n">
        <f aca="false">IF($D4="","",IF($E4="Buy",-($F4*$G4+$H4),$F4*$G4-$H4))</f>
        <v>-9600</v>
      </c>
      <c r="K4" s="19" t="str">
        <f aca="false">IF(OR($D4="",$E4&lt;&gt;"Sell"),"",IFERROR(SUMPRODUCT(($D$4:$D$40=$D4)*($E$4:$E$40="Buy")*($B$4:$B$40&lt;=$B4)*($F$4:$F$40*$G$4:$G$40+$H$4:$H$40))/SUMPRODUCT(($D$4:$D$40=$D4)*($E$4:$E$40="Buy")*($B$4:$B$40&lt;=$B4)*$F$4:$F$40),""))</f>
        <v/>
      </c>
      <c r="L4" s="14" t="str">
        <f aca="false">IF(OR($D4="",$E4&lt;&gt;"Sell"),"",($G4-$K4)*$F4-$H4)</f>
        <v/>
      </c>
    </row>
    <row r="5" customFormat="false" ht="15" hidden="false" customHeight="false" outlineLevel="0" collapsed="false">
      <c r="A5" s="7" t="s">
        <v>104</v>
      </c>
      <c r="B5" s="9" t="n">
        <v>46114</v>
      </c>
      <c r="C5" s="7" t="s">
        <v>72</v>
      </c>
      <c r="D5" s="7" t="s">
        <v>105</v>
      </c>
      <c r="E5" s="7" t="s">
        <v>103</v>
      </c>
      <c r="F5" s="16" t="n">
        <v>15</v>
      </c>
      <c r="G5" s="17" t="n">
        <v>220</v>
      </c>
      <c r="H5" s="17" t="n">
        <v>0</v>
      </c>
      <c r="I5" s="18" t="n">
        <f aca="false">IF($D5="","",IF($E5="Buy",$F5,-$F5))</f>
        <v>15</v>
      </c>
      <c r="J5" s="14" t="n">
        <f aca="false">IF($D5="","",IF($E5="Buy",-($F5*$G5+$H5),$F5*$G5-$H5))</f>
        <v>-3300</v>
      </c>
      <c r="K5" s="19" t="str">
        <f aca="false">IF(OR($D5="",$E5&lt;&gt;"Sell"),"",IFERROR(SUMPRODUCT(($D$4:$D$40=$D5)*($E$4:$E$40="Buy")*($B$4:$B$40&lt;=$B5)*($F$4:$F$40*$G$4:$G$40+$H$4:$H$40))/SUMPRODUCT(($D$4:$D$40=$D5)*($E$4:$E$40="Buy")*($B$4:$B$40&lt;=$B5)*$F$4:$F$40),""))</f>
        <v/>
      </c>
      <c r="L5" s="14" t="str">
        <f aca="false">IF(OR($D5="",$E5&lt;&gt;"Sell"),"",($G5-$K5)*$F5-$H5)</f>
        <v/>
      </c>
    </row>
    <row r="6" customFormat="false" ht="15" hidden="false" customHeight="false" outlineLevel="0" collapsed="false">
      <c r="A6" s="7" t="s">
        <v>106</v>
      </c>
      <c r="B6" s="9" t="n">
        <v>46114</v>
      </c>
      <c r="C6" s="7" t="s">
        <v>72</v>
      </c>
      <c r="D6" s="7" t="s">
        <v>107</v>
      </c>
      <c r="E6" s="7" t="s">
        <v>103</v>
      </c>
      <c r="F6" s="16" t="n">
        <v>40</v>
      </c>
      <c r="G6" s="17" t="n">
        <v>35</v>
      </c>
      <c r="H6" s="17" t="n">
        <v>0</v>
      </c>
      <c r="I6" s="18" t="n">
        <f aca="false">IF($D6="","",IF($E6="Buy",$F6,-$F6))</f>
        <v>40</v>
      </c>
      <c r="J6" s="14" t="n">
        <f aca="false">IF($D6="","",IF($E6="Buy",-($F6*$G6+$H6),$F6*$G6-$H6))</f>
        <v>-1400</v>
      </c>
      <c r="K6" s="19" t="str">
        <f aca="false">IF(OR($D6="",$E6&lt;&gt;"Sell"),"",IFERROR(SUMPRODUCT(($D$4:$D$40=$D6)*($E$4:$E$40="Buy")*($B$4:$B$40&lt;=$B6)*($F$4:$F$40*$G$4:$G$40+$H$4:$H$40))/SUMPRODUCT(($D$4:$D$40=$D6)*($E$4:$E$40="Buy")*($B$4:$B$40&lt;=$B6)*$F$4:$F$40),""))</f>
        <v/>
      </c>
      <c r="L6" s="14" t="str">
        <f aca="false">IF(OR($D6="",$E6&lt;&gt;"Sell"),"",($G6-$K6)*$F6-$H6)</f>
        <v/>
      </c>
    </row>
    <row r="7" customFormat="false" ht="15" hidden="false" customHeight="false" outlineLevel="0" collapsed="false">
      <c r="A7" s="7" t="s">
        <v>108</v>
      </c>
      <c r="B7" s="9" t="n">
        <v>46159</v>
      </c>
      <c r="C7" s="7" t="s">
        <v>77</v>
      </c>
      <c r="D7" s="7" t="s">
        <v>107</v>
      </c>
      <c r="E7" s="7" t="s">
        <v>109</v>
      </c>
      <c r="F7" s="16" t="n">
        <v>40</v>
      </c>
      <c r="G7" s="17" t="n">
        <v>30</v>
      </c>
      <c r="H7" s="17" t="n">
        <v>0</v>
      </c>
      <c r="I7" s="18" t="n">
        <f aca="false">IF($D7="","",IF($E7="Buy",$F7,-$F7))</f>
        <v>-40</v>
      </c>
      <c r="J7" s="14" t="n">
        <f aca="false">IF($D7="","",IF($E7="Buy",-($F7*$G7+$H7),$F7*$G7-$H7))</f>
        <v>1200</v>
      </c>
      <c r="K7" s="19" t="n">
        <f aca="false">IF(OR($D7="",$E7&lt;&gt;"Sell"),"",IFERROR(SUMPRODUCT(($D$4:$D$40=$D7)*($E$4:$E$40="Buy")*($B$4:$B$40&lt;=$B7)*($F$4:$F$40*$G$4:$G$40+$H$4:$H$40))/SUMPRODUCT(($D$4:$D$40=$D7)*($E$4:$E$40="Buy")*($B$4:$B$40&lt;=$B7)*$F$4:$F$40),""))</f>
        <v>35</v>
      </c>
      <c r="L7" s="14" t="n">
        <f aca="false">IF(OR($D7="",$E7&lt;&gt;"Sell"),"",($G7-$K7)*$F7-$H7)</f>
        <v>-200</v>
      </c>
    </row>
    <row r="8" customFormat="false" ht="15" hidden="false" customHeight="false" outlineLevel="0" collapsed="false">
      <c r="A8" s="7" t="s">
        <v>110</v>
      </c>
      <c r="B8" s="9" t="n">
        <v>46159</v>
      </c>
      <c r="C8" s="7" t="s">
        <v>77</v>
      </c>
      <c r="D8" s="7" t="s">
        <v>111</v>
      </c>
      <c r="E8" s="7" t="s">
        <v>103</v>
      </c>
      <c r="F8" s="16" t="n">
        <v>10</v>
      </c>
      <c r="G8" s="17" t="n">
        <v>120</v>
      </c>
      <c r="H8" s="17" t="n">
        <v>0</v>
      </c>
      <c r="I8" s="18" t="n">
        <f aca="false">IF($D8="","",IF($E8="Buy",$F8,-$F8))</f>
        <v>10</v>
      </c>
      <c r="J8" s="14" t="n">
        <f aca="false">IF($D8="","",IF($E8="Buy",-($F8*$G8+$H8),$F8*$G8-$H8))</f>
        <v>-1200</v>
      </c>
      <c r="K8" s="19" t="str">
        <f aca="false">IF(OR($D8="",$E8&lt;&gt;"Sell"),"",IFERROR(SUMPRODUCT(($D$4:$D$40=$D8)*($E$4:$E$40="Buy")*($B$4:$B$40&lt;=$B8)*($F$4:$F$40*$G$4:$G$40+$H$4:$H$40))/SUMPRODUCT(($D$4:$D$40=$D8)*($E$4:$E$40="Buy")*($B$4:$B$40&lt;=$B8)*$F$4:$F$40),""))</f>
        <v/>
      </c>
      <c r="L8" s="14" t="str">
        <f aca="false">IF(OR($D8="",$E8&lt;&gt;"Sell"),"",($G8-$K8)*$F8-$H8)</f>
        <v/>
      </c>
    </row>
    <row r="9" customFormat="false" ht="15" hidden="false" customHeight="false" outlineLevel="0" collapsed="false">
      <c r="A9" s="7" t="s">
        <v>112</v>
      </c>
      <c r="B9" s="9" t="n">
        <v>46190</v>
      </c>
      <c r="C9" s="7" t="s">
        <v>84</v>
      </c>
      <c r="D9" s="7" t="s">
        <v>105</v>
      </c>
      <c r="E9" s="7" t="s">
        <v>109</v>
      </c>
      <c r="F9" s="16" t="n">
        <v>5</v>
      </c>
      <c r="G9" s="17" t="n">
        <v>230</v>
      </c>
      <c r="H9" s="17" t="n">
        <v>0</v>
      </c>
      <c r="I9" s="18" t="n">
        <f aca="false">IF($D9="","",IF($E9="Buy",$F9,-$F9))</f>
        <v>-5</v>
      </c>
      <c r="J9" s="14" t="n">
        <f aca="false">IF($D9="","",IF($E9="Buy",-($F9*$G9+$H9),$F9*$G9-$H9))</f>
        <v>1150</v>
      </c>
      <c r="K9" s="19" t="n">
        <f aca="false">IF(OR($D9="",$E9&lt;&gt;"Sell"),"",IFERROR(SUMPRODUCT(($D$4:$D$40=$D9)*($E$4:$E$40="Buy")*($B$4:$B$40&lt;=$B9)*($F$4:$F$40*$G$4:$G$40+$H$4:$H$40))/SUMPRODUCT(($D$4:$D$40=$D9)*($E$4:$E$40="Buy")*($B$4:$B$40&lt;=$B9)*$F$4:$F$40),""))</f>
        <v>220</v>
      </c>
      <c r="L9" s="14" t="n">
        <f aca="false">IF(OR($D9="",$E9&lt;&gt;"Sell"),"",($G9-$K9)*$F9-$H9)</f>
        <v>50</v>
      </c>
    </row>
    <row r="10" customFormat="false" ht="15" hidden="false" customHeight="false" outlineLevel="0" collapsed="false">
      <c r="A10" s="7" t="s">
        <v>113</v>
      </c>
      <c r="B10" s="9" t="n">
        <v>46190</v>
      </c>
      <c r="C10" s="7" t="s">
        <v>84</v>
      </c>
      <c r="D10" s="7" t="s">
        <v>114</v>
      </c>
      <c r="E10" s="7" t="s">
        <v>103</v>
      </c>
      <c r="F10" s="16" t="n">
        <v>3</v>
      </c>
      <c r="G10" s="17" t="n">
        <v>420</v>
      </c>
      <c r="H10" s="17" t="n">
        <v>0</v>
      </c>
      <c r="I10" s="18" t="n">
        <f aca="false">IF($D10="","",IF($E10="Buy",$F10,-$F10))</f>
        <v>3</v>
      </c>
      <c r="J10" s="14" t="n">
        <f aca="false">IF($D10="","",IF($E10="Buy",-($F10*$G10+$H10),$F10*$G10-$H10))</f>
        <v>-1260</v>
      </c>
      <c r="K10" s="19" t="str">
        <f aca="false">IF(OR($D10="",$E10&lt;&gt;"Sell"),"",IFERROR(SUMPRODUCT(($D$4:$D$40=$D10)*($E$4:$E$40="Buy")*($B$4:$B$40&lt;=$B10)*($F$4:$F$40*$G$4:$G$40+$H$4:$H$40))/SUMPRODUCT(($D$4:$D$40=$D10)*($E$4:$E$40="Buy")*($B$4:$B$40&lt;=$B10)*$F$4:$F$40),""))</f>
        <v/>
      </c>
      <c r="L10" s="14" t="str">
        <f aca="false">IF(OR($D10="",$E10&lt;&gt;"Sell"),"",($G10-$K10)*$F10-$H10)</f>
        <v/>
      </c>
    </row>
    <row r="11" customFormat="false" ht="15" hidden="false" customHeight="false" outlineLevel="0" collapsed="false">
      <c r="I11" s="18" t="str">
        <f aca="false">IF($D11="","",IF($E11="Buy",$F11,-$F11))</f>
        <v/>
      </c>
      <c r="J11" s="14" t="str">
        <f aca="false">IF($D11="","",IF($E11="Buy",-($F11*$G11+$H11),$F11*$G11-$H11))</f>
        <v/>
      </c>
      <c r="K11" s="19" t="str">
        <f aca="false">IF(OR($D11="",$E11&lt;&gt;"Sell"),"",IFERROR(SUMPRODUCT(($D$4:$D$40=$D11)*($E$4:$E$40="Buy")*($B$4:$B$40&lt;=$B11)*($F$4:$F$40*$G$4:$G$40+$H$4:$H$40))/SUMPRODUCT(($D$4:$D$40=$D11)*($E$4:$E$40="Buy")*($B$4:$B$40&lt;=$B11)*$F$4:$F$40),""))</f>
        <v/>
      </c>
      <c r="L11" s="14" t="str">
        <f aca="false">IF(OR($D11="",$E11&lt;&gt;"Sell"),"",($G11-$K11)*$F11-$H11)</f>
        <v/>
      </c>
    </row>
    <row r="12" customFormat="false" ht="15" hidden="false" customHeight="false" outlineLevel="0" collapsed="false">
      <c r="I12" s="18" t="str">
        <f aca="false">IF($D12="","",IF($E12="Buy",$F12,-$F12))</f>
        <v/>
      </c>
      <c r="J12" s="14" t="str">
        <f aca="false">IF($D12="","",IF($E12="Buy",-($F12*$G12+$H12),$F12*$G12-$H12))</f>
        <v/>
      </c>
      <c r="K12" s="19" t="str">
        <f aca="false">IF(OR($D12="",$E12&lt;&gt;"Sell"),"",IFERROR(SUMPRODUCT(($D$4:$D$40=$D12)*($E$4:$E$40="Buy")*($B$4:$B$40&lt;=$B12)*($F$4:$F$40*$G$4:$G$40+$H$4:$H$40))/SUMPRODUCT(($D$4:$D$40=$D12)*($E$4:$E$40="Buy")*($B$4:$B$40&lt;=$B12)*$F$4:$F$40),""))</f>
        <v/>
      </c>
      <c r="L12" s="14" t="str">
        <f aca="false">IF(OR($D12="",$E12&lt;&gt;"Sell"),"",($G12-$K12)*$F12-$H12)</f>
        <v/>
      </c>
    </row>
    <row r="13" customFormat="false" ht="15" hidden="false" customHeight="false" outlineLevel="0" collapsed="false">
      <c r="I13" s="18" t="str">
        <f aca="false">IF($D13="","",IF($E13="Buy",$F13,-$F13))</f>
        <v/>
      </c>
      <c r="J13" s="14" t="str">
        <f aca="false">IF($D13="","",IF($E13="Buy",-($F13*$G13+$H13),$F13*$G13-$H13))</f>
        <v/>
      </c>
      <c r="K13" s="19" t="str">
        <f aca="false">IF(OR($D13="",$E13&lt;&gt;"Sell"),"",IFERROR(SUMPRODUCT(($D$4:$D$40=$D13)*($E$4:$E$40="Buy")*($B$4:$B$40&lt;=$B13)*($F$4:$F$40*$G$4:$G$40+$H$4:$H$40))/SUMPRODUCT(($D$4:$D$40=$D13)*($E$4:$E$40="Buy")*($B$4:$B$40&lt;=$B13)*$F$4:$F$40),""))</f>
        <v/>
      </c>
      <c r="L13" s="14" t="str">
        <f aca="false">IF(OR($D13="",$E13&lt;&gt;"Sell"),"",($G13-$K13)*$F13-$H13)</f>
        <v/>
      </c>
    </row>
    <row r="14" customFormat="false" ht="15" hidden="false" customHeight="false" outlineLevel="0" collapsed="false">
      <c r="I14" s="18" t="str">
        <f aca="false">IF($D14="","",IF($E14="Buy",$F14,-$F14))</f>
        <v/>
      </c>
      <c r="J14" s="14" t="str">
        <f aca="false">IF($D14="","",IF($E14="Buy",-($F14*$G14+$H14),$F14*$G14-$H14))</f>
        <v/>
      </c>
      <c r="K14" s="19" t="str">
        <f aca="false">IF(OR($D14="",$E14&lt;&gt;"Sell"),"",IFERROR(SUMPRODUCT(($D$4:$D$40=$D14)*($E$4:$E$40="Buy")*($B$4:$B$40&lt;=$B14)*($F$4:$F$40*$G$4:$G$40+$H$4:$H$40))/SUMPRODUCT(($D$4:$D$40=$D14)*($E$4:$E$40="Buy")*($B$4:$B$40&lt;=$B14)*$F$4:$F$40),""))</f>
        <v/>
      </c>
      <c r="L14" s="14" t="str">
        <f aca="false">IF(OR($D14="",$E14&lt;&gt;"Sell"),"",($G14-$K14)*$F14-$H14)</f>
        <v/>
      </c>
    </row>
    <row r="15" customFormat="false" ht="15" hidden="false" customHeight="false" outlineLevel="0" collapsed="false">
      <c r="I15" s="18" t="str">
        <f aca="false">IF($D15="","",IF($E15="Buy",$F15,-$F15))</f>
        <v/>
      </c>
      <c r="J15" s="14" t="str">
        <f aca="false">IF($D15="","",IF($E15="Buy",-($F15*$G15+$H15),$F15*$G15-$H15))</f>
        <v/>
      </c>
      <c r="K15" s="19" t="str">
        <f aca="false">IF(OR($D15="",$E15&lt;&gt;"Sell"),"",IFERROR(SUMPRODUCT(($D$4:$D$40=$D15)*($E$4:$E$40="Buy")*($B$4:$B$40&lt;=$B15)*($F$4:$F$40*$G$4:$G$40+$H$4:$H$40))/SUMPRODUCT(($D$4:$D$40=$D15)*($E$4:$E$40="Buy")*($B$4:$B$40&lt;=$B15)*$F$4:$F$40),""))</f>
        <v/>
      </c>
      <c r="L15" s="14" t="str">
        <f aca="false">IF(OR($D15="",$E15&lt;&gt;"Sell"),"",($G15-$K15)*$F15-$H15)</f>
        <v/>
      </c>
    </row>
    <row r="16" customFormat="false" ht="15" hidden="false" customHeight="false" outlineLevel="0" collapsed="false">
      <c r="I16" s="18" t="str">
        <f aca="false">IF($D16="","",IF($E16="Buy",$F16,-$F16))</f>
        <v/>
      </c>
      <c r="J16" s="14" t="str">
        <f aca="false">IF($D16="","",IF($E16="Buy",-($F16*$G16+$H16),$F16*$G16-$H16))</f>
        <v/>
      </c>
      <c r="K16" s="19" t="str">
        <f aca="false">IF(OR($D16="",$E16&lt;&gt;"Sell"),"",IFERROR(SUMPRODUCT(($D$4:$D$40=$D16)*($E$4:$E$40="Buy")*($B$4:$B$40&lt;=$B16)*($F$4:$F$40*$G$4:$G$40+$H$4:$H$40))/SUMPRODUCT(($D$4:$D$40=$D16)*($E$4:$E$40="Buy")*($B$4:$B$40&lt;=$B16)*$F$4:$F$40),""))</f>
        <v/>
      </c>
      <c r="L16" s="14" t="str">
        <f aca="false">IF(OR($D16="",$E16&lt;&gt;"Sell"),"",($G16-$K16)*$F16-$H16)</f>
        <v/>
      </c>
    </row>
    <row r="17" customFormat="false" ht="15" hidden="false" customHeight="false" outlineLevel="0" collapsed="false">
      <c r="I17" s="18" t="str">
        <f aca="false">IF($D17="","",IF($E17="Buy",$F17,-$F17))</f>
        <v/>
      </c>
      <c r="J17" s="14" t="str">
        <f aca="false">IF($D17="","",IF($E17="Buy",-($F17*$G17+$H17),$F17*$G17-$H17))</f>
        <v/>
      </c>
      <c r="K17" s="19" t="str">
        <f aca="false">IF(OR($D17="",$E17&lt;&gt;"Sell"),"",IFERROR(SUMPRODUCT(($D$4:$D$40=$D17)*($E$4:$E$40="Buy")*($B$4:$B$40&lt;=$B17)*($F$4:$F$40*$G$4:$G$40+$H$4:$H$40))/SUMPRODUCT(($D$4:$D$40=$D17)*($E$4:$E$40="Buy")*($B$4:$B$40&lt;=$B17)*$F$4:$F$40),""))</f>
        <v/>
      </c>
      <c r="L17" s="14" t="str">
        <f aca="false">IF(OR($D17="",$E17&lt;&gt;"Sell"),"",($G17-$K17)*$F17-$H17)</f>
        <v/>
      </c>
    </row>
    <row r="18" customFormat="false" ht="15" hidden="false" customHeight="false" outlineLevel="0" collapsed="false">
      <c r="I18" s="18" t="str">
        <f aca="false">IF($D18="","",IF($E18="Buy",$F18,-$F18))</f>
        <v/>
      </c>
      <c r="J18" s="14" t="str">
        <f aca="false">IF($D18="","",IF($E18="Buy",-($F18*$G18+$H18),$F18*$G18-$H18))</f>
        <v/>
      </c>
      <c r="K18" s="19" t="str">
        <f aca="false">IF(OR($D18="",$E18&lt;&gt;"Sell"),"",IFERROR(SUMPRODUCT(($D$4:$D$40=$D18)*($E$4:$E$40="Buy")*($B$4:$B$40&lt;=$B18)*($F$4:$F$40*$G$4:$G$40+$H$4:$H$40))/SUMPRODUCT(($D$4:$D$40=$D18)*($E$4:$E$40="Buy")*($B$4:$B$40&lt;=$B18)*$F$4:$F$40),""))</f>
        <v/>
      </c>
      <c r="L18" s="14" t="str">
        <f aca="false">IF(OR($D18="",$E18&lt;&gt;"Sell"),"",($G18-$K18)*$F18-$H18)</f>
        <v/>
      </c>
    </row>
    <row r="19" customFormat="false" ht="15" hidden="false" customHeight="false" outlineLevel="0" collapsed="false">
      <c r="I19" s="18" t="str">
        <f aca="false">IF($D19="","",IF($E19="Buy",$F19,-$F19))</f>
        <v/>
      </c>
      <c r="J19" s="14" t="str">
        <f aca="false">IF($D19="","",IF($E19="Buy",-($F19*$G19+$H19),$F19*$G19-$H19))</f>
        <v/>
      </c>
      <c r="K19" s="19" t="str">
        <f aca="false">IF(OR($D19="",$E19&lt;&gt;"Sell"),"",IFERROR(SUMPRODUCT(($D$4:$D$40=$D19)*($E$4:$E$40="Buy")*($B$4:$B$40&lt;=$B19)*($F$4:$F$40*$G$4:$G$40+$H$4:$H$40))/SUMPRODUCT(($D$4:$D$40=$D19)*($E$4:$E$40="Buy")*($B$4:$B$40&lt;=$B19)*$F$4:$F$40),""))</f>
        <v/>
      </c>
      <c r="L19" s="14" t="str">
        <f aca="false">IF(OR($D19="",$E19&lt;&gt;"Sell"),"",($G19-$K19)*$F19-$H19)</f>
        <v/>
      </c>
    </row>
    <row r="20" customFormat="false" ht="15" hidden="false" customHeight="false" outlineLevel="0" collapsed="false">
      <c r="I20" s="18" t="str">
        <f aca="false">IF($D20="","",IF($E20="Buy",$F20,-$F20))</f>
        <v/>
      </c>
      <c r="J20" s="14" t="str">
        <f aca="false">IF($D20="","",IF($E20="Buy",-($F20*$G20+$H20),$F20*$G20-$H20))</f>
        <v/>
      </c>
      <c r="K20" s="19" t="str">
        <f aca="false">IF(OR($D20="",$E20&lt;&gt;"Sell"),"",IFERROR(SUMPRODUCT(($D$4:$D$40=$D20)*($E$4:$E$40="Buy")*($B$4:$B$40&lt;=$B20)*($F$4:$F$40*$G$4:$G$40+$H$4:$H$40))/SUMPRODUCT(($D$4:$D$40=$D20)*($E$4:$E$40="Buy")*($B$4:$B$40&lt;=$B20)*$F$4:$F$40),""))</f>
        <v/>
      </c>
      <c r="L20" s="14" t="str">
        <f aca="false">IF(OR($D20="",$E20&lt;&gt;"Sell"),"",($G20-$K20)*$F20-$H20)</f>
        <v/>
      </c>
    </row>
    <row r="21" customFormat="false" ht="15" hidden="false" customHeight="false" outlineLevel="0" collapsed="false">
      <c r="I21" s="18" t="str">
        <f aca="false">IF($D21="","",IF($E21="Buy",$F21,-$F21))</f>
        <v/>
      </c>
      <c r="J21" s="14" t="str">
        <f aca="false">IF($D21="","",IF($E21="Buy",-($F21*$G21+$H21),$F21*$G21-$H21))</f>
        <v/>
      </c>
      <c r="K21" s="19" t="str">
        <f aca="false">IF(OR($D21="",$E21&lt;&gt;"Sell"),"",IFERROR(SUMPRODUCT(($D$4:$D$40=$D21)*($E$4:$E$40="Buy")*($B$4:$B$40&lt;=$B21)*($F$4:$F$40*$G$4:$G$40+$H$4:$H$40))/SUMPRODUCT(($D$4:$D$40=$D21)*($E$4:$E$40="Buy")*($B$4:$B$40&lt;=$B21)*$F$4:$F$40),""))</f>
        <v/>
      </c>
      <c r="L21" s="14" t="str">
        <f aca="false">IF(OR($D21="",$E21&lt;&gt;"Sell"),"",($G21-$K21)*$F21-$H21)</f>
        <v/>
      </c>
    </row>
    <row r="22" customFormat="false" ht="15" hidden="false" customHeight="false" outlineLevel="0" collapsed="false">
      <c r="I22" s="18" t="str">
        <f aca="false">IF($D22="","",IF($E22="Buy",$F22,-$F22))</f>
        <v/>
      </c>
      <c r="J22" s="14" t="str">
        <f aca="false">IF($D22="","",IF($E22="Buy",-($F22*$G22+$H22),$F22*$G22-$H22))</f>
        <v/>
      </c>
      <c r="K22" s="19" t="str">
        <f aca="false">IF(OR($D22="",$E22&lt;&gt;"Sell"),"",IFERROR(SUMPRODUCT(($D$4:$D$40=$D22)*($E$4:$E$40="Buy")*($B$4:$B$40&lt;=$B22)*($F$4:$F$40*$G$4:$G$40+$H$4:$H$40))/SUMPRODUCT(($D$4:$D$40=$D22)*($E$4:$E$40="Buy")*($B$4:$B$40&lt;=$B22)*$F$4:$F$40),""))</f>
        <v/>
      </c>
      <c r="L22" s="14" t="str">
        <f aca="false">IF(OR($D22="",$E22&lt;&gt;"Sell"),"",($G22-$K22)*$F22-$H22)</f>
        <v/>
      </c>
    </row>
    <row r="23" customFormat="false" ht="15" hidden="false" customHeight="false" outlineLevel="0" collapsed="false">
      <c r="I23" s="18" t="str">
        <f aca="false">IF($D23="","",IF($E23="Buy",$F23,-$F23))</f>
        <v/>
      </c>
      <c r="J23" s="14" t="str">
        <f aca="false">IF($D23="","",IF($E23="Buy",-($F23*$G23+$H23),$F23*$G23-$H23))</f>
        <v/>
      </c>
      <c r="K23" s="19" t="str">
        <f aca="false">IF(OR($D23="",$E23&lt;&gt;"Sell"),"",IFERROR(SUMPRODUCT(($D$4:$D$40=$D23)*($E$4:$E$40="Buy")*($B$4:$B$40&lt;=$B23)*($F$4:$F$40*$G$4:$G$40+$H$4:$H$40))/SUMPRODUCT(($D$4:$D$40=$D23)*($E$4:$E$40="Buy")*($B$4:$B$40&lt;=$B23)*$F$4:$F$40),""))</f>
        <v/>
      </c>
      <c r="L23" s="14" t="str">
        <f aca="false">IF(OR($D23="",$E23&lt;&gt;"Sell"),"",($G23-$K23)*$F23-$H23)</f>
        <v/>
      </c>
    </row>
    <row r="24" customFormat="false" ht="15" hidden="false" customHeight="false" outlineLevel="0" collapsed="false">
      <c r="I24" s="18" t="str">
        <f aca="false">IF($D24="","",IF($E24="Buy",$F24,-$F24))</f>
        <v/>
      </c>
      <c r="J24" s="14" t="str">
        <f aca="false">IF($D24="","",IF($E24="Buy",-($F24*$G24+$H24),$F24*$G24-$H24))</f>
        <v/>
      </c>
      <c r="K24" s="19" t="str">
        <f aca="false">IF(OR($D24="",$E24&lt;&gt;"Sell"),"",IFERROR(SUMPRODUCT(($D$4:$D$40=$D24)*($E$4:$E$40="Buy")*($B$4:$B$40&lt;=$B24)*($F$4:$F$40*$G$4:$G$40+$H$4:$H$40))/SUMPRODUCT(($D$4:$D$40=$D24)*($E$4:$E$40="Buy")*($B$4:$B$40&lt;=$B24)*$F$4:$F$40),""))</f>
        <v/>
      </c>
      <c r="L24" s="14" t="str">
        <f aca="false">IF(OR($D24="",$E24&lt;&gt;"Sell"),"",($G24-$K24)*$F24-$H24)</f>
        <v/>
      </c>
    </row>
    <row r="25" customFormat="false" ht="15" hidden="false" customHeight="false" outlineLevel="0" collapsed="false">
      <c r="I25" s="18" t="str">
        <f aca="false">IF($D25="","",IF($E25="Buy",$F25,-$F25))</f>
        <v/>
      </c>
      <c r="J25" s="14" t="str">
        <f aca="false">IF($D25="","",IF($E25="Buy",-($F25*$G25+$H25),$F25*$G25-$H25))</f>
        <v/>
      </c>
      <c r="K25" s="19" t="str">
        <f aca="false">IF(OR($D25="",$E25&lt;&gt;"Sell"),"",IFERROR(SUMPRODUCT(($D$4:$D$40=$D25)*($E$4:$E$40="Buy")*($B$4:$B$40&lt;=$B25)*($F$4:$F$40*$G$4:$G$40+$H$4:$H$40))/SUMPRODUCT(($D$4:$D$40=$D25)*($E$4:$E$40="Buy")*($B$4:$B$40&lt;=$B25)*$F$4:$F$40),""))</f>
        <v/>
      </c>
      <c r="L25" s="14" t="str">
        <f aca="false">IF(OR($D25="",$E25&lt;&gt;"Sell"),"",($G25-$K25)*$F25-$H25)</f>
        <v/>
      </c>
    </row>
    <row r="26" customFormat="false" ht="15" hidden="false" customHeight="false" outlineLevel="0" collapsed="false">
      <c r="I26" s="18" t="str">
        <f aca="false">IF($D26="","",IF($E26="Buy",$F26,-$F26))</f>
        <v/>
      </c>
      <c r="J26" s="14" t="str">
        <f aca="false">IF($D26="","",IF($E26="Buy",-($F26*$G26+$H26),$F26*$G26-$H26))</f>
        <v/>
      </c>
      <c r="K26" s="19" t="str">
        <f aca="false">IF(OR($D26="",$E26&lt;&gt;"Sell"),"",IFERROR(SUMPRODUCT(($D$4:$D$40=$D26)*($E$4:$E$40="Buy")*($B$4:$B$40&lt;=$B26)*($F$4:$F$40*$G$4:$G$40+$H$4:$H$40))/SUMPRODUCT(($D$4:$D$40=$D26)*($E$4:$E$40="Buy")*($B$4:$B$40&lt;=$B26)*$F$4:$F$40),""))</f>
        <v/>
      </c>
      <c r="L26" s="14" t="str">
        <f aca="false">IF(OR($D26="",$E26&lt;&gt;"Sell"),"",($G26-$K26)*$F26-$H26)</f>
        <v/>
      </c>
    </row>
    <row r="27" customFormat="false" ht="15" hidden="false" customHeight="false" outlineLevel="0" collapsed="false">
      <c r="I27" s="18" t="str">
        <f aca="false">IF($D27="","",IF($E27="Buy",$F27,-$F27))</f>
        <v/>
      </c>
      <c r="J27" s="14" t="str">
        <f aca="false">IF($D27="","",IF($E27="Buy",-($F27*$G27+$H27),$F27*$G27-$H27))</f>
        <v/>
      </c>
      <c r="K27" s="19" t="str">
        <f aca="false">IF(OR($D27="",$E27&lt;&gt;"Sell"),"",IFERROR(SUMPRODUCT(($D$4:$D$40=$D27)*($E$4:$E$40="Buy")*($B$4:$B$40&lt;=$B27)*($F$4:$F$40*$G$4:$G$40+$H$4:$H$40))/SUMPRODUCT(($D$4:$D$40=$D27)*($E$4:$E$40="Buy")*($B$4:$B$40&lt;=$B27)*$F$4:$F$40),""))</f>
        <v/>
      </c>
      <c r="L27" s="14" t="str">
        <f aca="false">IF(OR($D27="",$E27&lt;&gt;"Sell"),"",($G27-$K27)*$F27-$H27)</f>
        <v/>
      </c>
    </row>
    <row r="28" customFormat="false" ht="15" hidden="false" customHeight="false" outlineLevel="0" collapsed="false">
      <c r="I28" s="18" t="str">
        <f aca="false">IF($D28="","",IF($E28="Buy",$F28,-$F28))</f>
        <v/>
      </c>
      <c r="J28" s="14" t="str">
        <f aca="false">IF($D28="","",IF($E28="Buy",-($F28*$G28+$H28),$F28*$G28-$H28))</f>
        <v/>
      </c>
      <c r="K28" s="19" t="str">
        <f aca="false">IF(OR($D28="",$E28&lt;&gt;"Sell"),"",IFERROR(SUMPRODUCT(($D$4:$D$40=$D28)*($E$4:$E$40="Buy")*($B$4:$B$40&lt;=$B28)*($F$4:$F$40*$G$4:$G$40+$H$4:$H$40))/SUMPRODUCT(($D$4:$D$40=$D28)*($E$4:$E$40="Buy")*($B$4:$B$40&lt;=$B28)*$F$4:$F$40),""))</f>
        <v/>
      </c>
      <c r="L28" s="14" t="str">
        <f aca="false">IF(OR($D28="",$E28&lt;&gt;"Sell"),"",($G28-$K28)*$F28-$H28)</f>
        <v/>
      </c>
    </row>
    <row r="29" customFormat="false" ht="15" hidden="false" customHeight="false" outlineLevel="0" collapsed="false">
      <c r="I29" s="18" t="str">
        <f aca="false">IF($D29="","",IF($E29="Buy",$F29,-$F29))</f>
        <v/>
      </c>
      <c r="J29" s="14" t="str">
        <f aca="false">IF($D29="","",IF($E29="Buy",-($F29*$G29+$H29),$F29*$G29-$H29))</f>
        <v/>
      </c>
      <c r="K29" s="19" t="str">
        <f aca="false">IF(OR($D29="",$E29&lt;&gt;"Sell"),"",IFERROR(SUMPRODUCT(($D$4:$D$40=$D29)*($E$4:$E$40="Buy")*($B$4:$B$40&lt;=$B29)*($F$4:$F$40*$G$4:$G$40+$H$4:$H$40))/SUMPRODUCT(($D$4:$D$40=$D29)*($E$4:$E$40="Buy")*($B$4:$B$40&lt;=$B29)*$F$4:$F$40),""))</f>
        <v/>
      </c>
      <c r="L29" s="14" t="str">
        <f aca="false">IF(OR($D29="",$E29&lt;&gt;"Sell"),"",($G29-$K29)*$F29-$H29)</f>
        <v/>
      </c>
    </row>
    <row r="30" customFormat="false" ht="15" hidden="false" customHeight="false" outlineLevel="0" collapsed="false">
      <c r="I30" s="18" t="str">
        <f aca="false">IF($D30="","",IF($E30="Buy",$F30,-$F30))</f>
        <v/>
      </c>
      <c r="J30" s="14" t="str">
        <f aca="false">IF($D30="","",IF($E30="Buy",-($F30*$G30+$H30),$F30*$G30-$H30))</f>
        <v/>
      </c>
      <c r="K30" s="19" t="str">
        <f aca="false">IF(OR($D30="",$E30&lt;&gt;"Sell"),"",IFERROR(SUMPRODUCT(($D$4:$D$40=$D30)*($E$4:$E$40="Buy")*($B$4:$B$40&lt;=$B30)*($F$4:$F$40*$G$4:$G$40+$H$4:$H$40))/SUMPRODUCT(($D$4:$D$40=$D30)*($E$4:$E$40="Buy")*($B$4:$B$40&lt;=$B30)*$F$4:$F$40),""))</f>
        <v/>
      </c>
      <c r="L30" s="14" t="str">
        <f aca="false">IF(OR($D30="",$E30&lt;&gt;"Sell"),"",($G30-$K30)*$F30-$H30)</f>
        <v/>
      </c>
    </row>
    <row r="31" customFormat="false" ht="15" hidden="false" customHeight="false" outlineLevel="0" collapsed="false">
      <c r="I31" s="18" t="str">
        <f aca="false">IF($D31="","",IF($E31="Buy",$F31,-$F31))</f>
        <v/>
      </c>
      <c r="J31" s="14" t="str">
        <f aca="false">IF($D31="","",IF($E31="Buy",-($F31*$G31+$H31),$F31*$G31-$H31))</f>
        <v/>
      </c>
      <c r="K31" s="19" t="str">
        <f aca="false">IF(OR($D31="",$E31&lt;&gt;"Sell"),"",IFERROR(SUMPRODUCT(($D$4:$D$40=$D31)*($E$4:$E$40="Buy")*($B$4:$B$40&lt;=$B31)*($F$4:$F$40*$G$4:$G$40+$H$4:$H$40))/SUMPRODUCT(($D$4:$D$40=$D31)*($E$4:$E$40="Buy")*($B$4:$B$40&lt;=$B31)*$F$4:$F$40),""))</f>
        <v/>
      </c>
      <c r="L31" s="14" t="str">
        <f aca="false">IF(OR($D31="",$E31&lt;&gt;"Sell"),"",($G31-$K31)*$F31-$H31)</f>
        <v/>
      </c>
    </row>
    <row r="32" customFormat="false" ht="15" hidden="false" customHeight="false" outlineLevel="0" collapsed="false">
      <c r="I32" s="18" t="str">
        <f aca="false">IF($D32="","",IF($E32="Buy",$F32,-$F32))</f>
        <v/>
      </c>
      <c r="J32" s="14" t="str">
        <f aca="false">IF($D32="","",IF($E32="Buy",-($F32*$G32+$H32),$F32*$G32-$H32))</f>
        <v/>
      </c>
      <c r="K32" s="19" t="str">
        <f aca="false">IF(OR($D32="",$E32&lt;&gt;"Sell"),"",IFERROR(SUMPRODUCT(($D$4:$D$40=$D32)*($E$4:$E$40="Buy")*($B$4:$B$40&lt;=$B32)*($F$4:$F$40*$G$4:$G$40+$H$4:$H$40))/SUMPRODUCT(($D$4:$D$40=$D32)*($E$4:$E$40="Buy")*($B$4:$B$40&lt;=$B32)*$F$4:$F$40),""))</f>
        <v/>
      </c>
      <c r="L32" s="14" t="str">
        <f aca="false">IF(OR($D32="",$E32&lt;&gt;"Sell"),"",($G32-$K32)*$F32-$H32)</f>
        <v/>
      </c>
    </row>
    <row r="33" customFormat="false" ht="15" hidden="false" customHeight="false" outlineLevel="0" collapsed="false">
      <c r="I33" s="18" t="str">
        <f aca="false">IF($D33="","",IF($E33="Buy",$F33,-$F33))</f>
        <v/>
      </c>
      <c r="J33" s="14" t="str">
        <f aca="false">IF($D33="","",IF($E33="Buy",-($F33*$G33+$H33),$F33*$G33-$H33))</f>
        <v/>
      </c>
      <c r="K33" s="19" t="str">
        <f aca="false">IF(OR($D33="",$E33&lt;&gt;"Sell"),"",IFERROR(SUMPRODUCT(($D$4:$D$40=$D33)*($E$4:$E$40="Buy")*($B$4:$B$40&lt;=$B33)*($F$4:$F$40*$G$4:$G$40+$H$4:$H$40))/SUMPRODUCT(($D$4:$D$40=$D33)*($E$4:$E$40="Buy")*($B$4:$B$40&lt;=$B33)*$F$4:$F$40),""))</f>
        <v/>
      </c>
      <c r="L33" s="14" t="str">
        <f aca="false">IF(OR($D33="",$E33&lt;&gt;"Sell"),"",($G33-$K33)*$F33-$H33)</f>
        <v/>
      </c>
    </row>
    <row r="34" customFormat="false" ht="15" hidden="false" customHeight="false" outlineLevel="0" collapsed="false">
      <c r="I34" s="18" t="str">
        <f aca="false">IF($D34="","",IF($E34="Buy",$F34,-$F34))</f>
        <v/>
      </c>
      <c r="J34" s="14" t="str">
        <f aca="false">IF($D34="","",IF($E34="Buy",-($F34*$G34+$H34),$F34*$G34-$H34))</f>
        <v/>
      </c>
      <c r="K34" s="19" t="str">
        <f aca="false">IF(OR($D34="",$E34&lt;&gt;"Sell"),"",IFERROR(SUMPRODUCT(($D$4:$D$40=$D34)*($E$4:$E$40="Buy")*($B$4:$B$40&lt;=$B34)*($F$4:$F$40*$G$4:$G$40+$H$4:$H$40))/SUMPRODUCT(($D$4:$D$40=$D34)*($E$4:$E$40="Buy")*($B$4:$B$40&lt;=$B34)*$F$4:$F$40),""))</f>
        <v/>
      </c>
      <c r="L34" s="14" t="str">
        <f aca="false">IF(OR($D34="",$E34&lt;&gt;"Sell"),"",($G34-$K34)*$F34-$H34)</f>
        <v/>
      </c>
    </row>
    <row r="35" customFormat="false" ht="15" hidden="false" customHeight="false" outlineLevel="0" collapsed="false">
      <c r="I35" s="18" t="str">
        <f aca="false">IF($D35="","",IF($E35="Buy",$F35,-$F35))</f>
        <v/>
      </c>
      <c r="J35" s="14" t="str">
        <f aca="false">IF($D35="","",IF($E35="Buy",-($F35*$G35+$H35),$F35*$G35-$H35))</f>
        <v/>
      </c>
      <c r="K35" s="19" t="str">
        <f aca="false">IF(OR($D35="",$E35&lt;&gt;"Sell"),"",IFERROR(SUMPRODUCT(($D$4:$D$40=$D35)*($E$4:$E$40="Buy")*($B$4:$B$40&lt;=$B35)*($F$4:$F$40*$G$4:$G$40+$H$4:$H$40))/SUMPRODUCT(($D$4:$D$40=$D35)*($E$4:$E$40="Buy")*($B$4:$B$40&lt;=$B35)*$F$4:$F$40),""))</f>
        <v/>
      </c>
      <c r="L35" s="14" t="str">
        <f aca="false">IF(OR($D35="",$E35&lt;&gt;"Sell"),"",($G35-$K35)*$F35-$H35)</f>
        <v/>
      </c>
    </row>
    <row r="36" customFormat="false" ht="15" hidden="false" customHeight="false" outlineLevel="0" collapsed="false">
      <c r="I36" s="18" t="str">
        <f aca="false">IF($D36="","",IF($E36="Buy",$F36,-$F36))</f>
        <v/>
      </c>
      <c r="J36" s="14" t="str">
        <f aca="false">IF($D36="","",IF($E36="Buy",-($F36*$G36+$H36),$F36*$G36-$H36))</f>
        <v/>
      </c>
      <c r="K36" s="19" t="str">
        <f aca="false">IF(OR($D36="",$E36&lt;&gt;"Sell"),"",IFERROR(SUMPRODUCT(($D$4:$D$40=$D36)*($E$4:$E$40="Buy")*($B$4:$B$40&lt;=$B36)*($F$4:$F$40*$G$4:$G$40+$H$4:$H$40))/SUMPRODUCT(($D$4:$D$40=$D36)*($E$4:$E$40="Buy")*($B$4:$B$40&lt;=$B36)*$F$4:$F$40),""))</f>
        <v/>
      </c>
      <c r="L36" s="14" t="str">
        <f aca="false">IF(OR($D36="",$E36&lt;&gt;"Sell"),"",($G36-$K36)*$F36-$H36)</f>
        <v/>
      </c>
    </row>
    <row r="37" customFormat="false" ht="15" hidden="false" customHeight="false" outlineLevel="0" collapsed="false">
      <c r="I37" s="18" t="str">
        <f aca="false">IF($D37="","",IF($E37="Buy",$F37,-$F37))</f>
        <v/>
      </c>
      <c r="J37" s="14" t="str">
        <f aca="false">IF($D37="","",IF($E37="Buy",-($F37*$G37+$H37),$F37*$G37-$H37))</f>
        <v/>
      </c>
      <c r="K37" s="19" t="str">
        <f aca="false">IF(OR($D37="",$E37&lt;&gt;"Sell"),"",IFERROR(SUMPRODUCT(($D$4:$D$40=$D37)*($E$4:$E$40="Buy")*($B$4:$B$40&lt;=$B37)*($F$4:$F$40*$G$4:$G$40+$H$4:$H$40))/SUMPRODUCT(($D$4:$D$40=$D37)*($E$4:$E$40="Buy")*($B$4:$B$40&lt;=$B37)*$F$4:$F$40),""))</f>
        <v/>
      </c>
      <c r="L37" s="14" t="str">
        <f aca="false">IF(OR($D37="",$E37&lt;&gt;"Sell"),"",($G37-$K37)*$F37-$H37)</f>
        <v/>
      </c>
    </row>
    <row r="38" customFormat="false" ht="15" hidden="false" customHeight="false" outlineLevel="0" collapsed="false">
      <c r="I38" s="18" t="str">
        <f aca="false">IF($D38="","",IF($E38="Buy",$F38,-$F38))</f>
        <v/>
      </c>
      <c r="J38" s="14" t="str">
        <f aca="false">IF($D38="","",IF($E38="Buy",-($F38*$G38+$H38),$F38*$G38-$H38))</f>
        <v/>
      </c>
      <c r="K38" s="19" t="str">
        <f aca="false">IF(OR($D38="",$E38&lt;&gt;"Sell"),"",IFERROR(SUMPRODUCT(($D$4:$D$40=$D38)*($E$4:$E$40="Buy")*($B$4:$B$40&lt;=$B38)*($F$4:$F$40*$G$4:$G$40+$H$4:$H$40))/SUMPRODUCT(($D$4:$D$40=$D38)*($E$4:$E$40="Buy")*($B$4:$B$40&lt;=$B38)*$F$4:$F$40),""))</f>
        <v/>
      </c>
      <c r="L38" s="14" t="str">
        <f aca="false">IF(OR($D38="",$E38&lt;&gt;"Sell"),"",($G38-$K38)*$F38-$H38)</f>
        <v/>
      </c>
    </row>
    <row r="39" customFormat="false" ht="15" hidden="false" customHeight="false" outlineLevel="0" collapsed="false">
      <c r="I39" s="18" t="str">
        <f aca="false">IF($D39="","",IF($E39="Buy",$F39,-$F39))</f>
        <v/>
      </c>
      <c r="J39" s="14" t="str">
        <f aca="false">IF($D39="","",IF($E39="Buy",-($F39*$G39+$H39),$F39*$G39-$H39))</f>
        <v/>
      </c>
      <c r="K39" s="19" t="str">
        <f aca="false">IF(OR($D39="",$E39&lt;&gt;"Sell"),"",IFERROR(SUMPRODUCT(($D$4:$D$40=$D39)*($E$4:$E$40="Buy")*($B$4:$B$40&lt;=$B39)*($F$4:$F$40*$G$4:$G$40+$H$4:$H$40))/SUMPRODUCT(($D$4:$D$40=$D39)*($E$4:$E$40="Buy")*($B$4:$B$40&lt;=$B39)*$F$4:$F$40),""))</f>
        <v/>
      </c>
      <c r="L39" s="14" t="str">
        <f aca="false">IF(OR($D39="",$E39&lt;&gt;"Sell"),"",($G39-$K39)*$F39-$H39)</f>
        <v/>
      </c>
    </row>
    <row r="40" customFormat="false" ht="15" hidden="false" customHeight="false" outlineLevel="0" collapsed="false">
      <c r="I40" s="18" t="str">
        <f aca="false">IF($D40="","",IF($E40="Buy",$F40,-$F40))</f>
        <v/>
      </c>
      <c r="J40" s="14" t="str">
        <f aca="false">IF($D40="","",IF($E40="Buy",-($F40*$G40+$H40),$F40*$G40-$H40))</f>
        <v/>
      </c>
      <c r="K40" s="19" t="str">
        <f aca="false">IF(OR($D40="",$E40&lt;&gt;"Sell"),"",IFERROR(SUMPRODUCT(($D$4:$D$40=$D40)*($E$4:$E$40="Buy")*($B$4:$B$40&lt;=$B40)*($F$4:$F$40*$G$4:$G$40+$H$4:$H$40))/SUMPRODUCT(($D$4:$D$40=$D40)*($E$4:$E$40="Buy")*($B$4:$B$40&lt;=$B40)*$F$4:$F$40),""))</f>
        <v/>
      </c>
      <c r="L40" s="14" t="str">
        <f aca="false">IF(OR($D40="",$E40&lt;&gt;"Sell"),"",($G40-$K40)*$F40-$H40)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770E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5" t="s">
        <v>116</v>
      </c>
    </row>
    <row r="3" customFormat="false" ht="15" hidden="false" customHeight="false" outlineLevel="0" collapsed="false">
      <c r="A3" s="10" t="s">
        <v>60</v>
      </c>
      <c r="B3" s="10" t="s">
        <v>117</v>
      </c>
      <c r="C3" s="10" t="s">
        <v>118</v>
      </c>
      <c r="D3" s="10" t="s">
        <v>119</v>
      </c>
      <c r="E3" s="10" t="s">
        <v>120</v>
      </c>
    </row>
    <row r="4" customFormat="false" ht="15" hidden="false" customHeight="false" outlineLevel="0" collapsed="false">
      <c r="A4" s="9" t="n">
        <v>46164</v>
      </c>
      <c r="B4" s="7" t="s">
        <v>121</v>
      </c>
      <c r="C4" s="20" t="n">
        <v>3000</v>
      </c>
      <c r="D4" s="7" t="s">
        <v>122</v>
      </c>
      <c r="E4" s="14" t="n">
        <f aca="false">IF($B4="","",IF($B4="Deposit",$C4,-$C4))</f>
        <v>3000</v>
      </c>
    </row>
    <row r="5" customFormat="false" ht="15" hidden="false" customHeight="false" outlineLevel="0" collapsed="false">
      <c r="E5" s="14" t="str">
        <f aca="false">IF($B5="","",IF($B5="Deposit",$C5,-$C5))</f>
        <v/>
      </c>
    </row>
    <row r="6" customFormat="false" ht="15" hidden="false" customHeight="false" outlineLevel="0" collapsed="false">
      <c r="E6" s="14" t="str">
        <f aca="false">IF($B6="","",IF($B6="Deposit",$C6,-$C6))</f>
        <v/>
      </c>
    </row>
    <row r="7" customFormat="false" ht="15" hidden="false" customHeight="false" outlineLevel="0" collapsed="false">
      <c r="E7" s="14" t="str">
        <f aca="false">IF($B7="","",IF($B7="Deposit",$C7,-$C7))</f>
        <v/>
      </c>
    </row>
    <row r="8" customFormat="false" ht="15" hidden="false" customHeight="false" outlineLevel="0" collapsed="false">
      <c r="E8" s="14" t="str">
        <f aca="false">IF($B8="","",IF($B8="Deposit",$C8,-$C8))</f>
        <v/>
      </c>
    </row>
    <row r="9" customFormat="false" ht="15" hidden="false" customHeight="false" outlineLevel="0" collapsed="false">
      <c r="E9" s="14" t="str">
        <f aca="false">IF($B9="","",IF($B9="Deposit",$C9,-$C9))</f>
        <v/>
      </c>
    </row>
    <row r="10" customFormat="false" ht="15" hidden="false" customHeight="false" outlineLevel="0" collapsed="false">
      <c r="E10" s="14" t="str">
        <f aca="false">IF($B10="","",IF($B10="Deposit",$C10,-$C10))</f>
        <v/>
      </c>
    </row>
    <row r="11" customFormat="false" ht="15" hidden="false" customHeight="false" outlineLevel="0" collapsed="false">
      <c r="E11" s="14" t="str">
        <f aca="false">IF($B11="","",IF($B11="Deposit",$C11,-$C11))</f>
        <v/>
      </c>
    </row>
    <row r="12" customFormat="false" ht="15" hidden="false" customHeight="false" outlineLevel="0" collapsed="false">
      <c r="E12" s="14" t="str">
        <f aca="false">IF($B12="","",IF($B12="Deposit",$C12,-$C12))</f>
        <v/>
      </c>
    </row>
    <row r="13" customFormat="false" ht="15" hidden="false" customHeight="false" outlineLevel="0" collapsed="false">
      <c r="E13" s="14" t="str">
        <f aca="false">IF($B13="","",IF($B13="Deposit",$C13,-$C13))</f>
        <v/>
      </c>
    </row>
    <row r="14" customFormat="false" ht="15" hidden="false" customHeight="false" outlineLevel="0" collapsed="false">
      <c r="E14" s="14" t="str">
        <f aca="false">IF($B14="","",IF($B14="Deposit",$C14,-$C14))</f>
        <v/>
      </c>
    </row>
    <row r="15" customFormat="false" ht="15" hidden="false" customHeight="false" outlineLevel="0" collapsed="false">
      <c r="E15" s="14" t="str">
        <f aca="false">IF($B15="","",IF($B15="Deposit",$C15,-$C15))</f>
        <v/>
      </c>
    </row>
    <row r="16" customFormat="false" ht="15" hidden="false" customHeight="false" outlineLevel="0" collapsed="false">
      <c r="E16" s="14" t="str">
        <f aca="false">IF($B16="","",IF($B16="Deposit",$C16,-$C16))</f>
        <v/>
      </c>
    </row>
    <row r="17" customFormat="false" ht="15" hidden="false" customHeight="false" outlineLevel="0" collapsed="false">
      <c r="E17" s="14" t="str">
        <f aca="false">IF($B17="","",IF($B17="Deposit",$C17,-$C17))</f>
        <v/>
      </c>
    </row>
    <row r="18" customFormat="false" ht="15" hidden="false" customHeight="false" outlineLevel="0" collapsed="false">
      <c r="E18" s="14" t="str">
        <f aca="false">IF($B18="","",IF($B18="Deposit",$C18,-$C18))</f>
        <v/>
      </c>
    </row>
    <row r="19" customFormat="false" ht="15" hidden="false" customHeight="false" outlineLevel="0" collapsed="false">
      <c r="E19" s="14" t="str">
        <f aca="false">IF($B19="","",IF($B19="Deposit",$C19,-$C19))</f>
        <v/>
      </c>
    </row>
    <row r="20" customFormat="false" ht="15" hidden="false" customHeight="false" outlineLevel="0" collapsed="false">
      <c r="E20" s="14" t="str">
        <f aca="false">IF($B20="","",IF($B20="Deposit",$C20,-$C20))</f>
        <v/>
      </c>
    </row>
    <row r="21" customFormat="false" ht="15" hidden="false" customHeight="false" outlineLevel="0" collapsed="false">
      <c r="E21" s="14" t="str">
        <f aca="false">IF($B21="","",IF($B21="Deposit",$C21,-$C21))</f>
        <v/>
      </c>
    </row>
    <row r="22" customFormat="false" ht="15" hidden="false" customHeight="false" outlineLevel="0" collapsed="false">
      <c r="E22" s="14" t="str">
        <f aca="false">IF($B22="","",IF($B22="Deposit",$C22,-$C22))</f>
        <v/>
      </c>
    </row>
    <row r="23" customFormat="false" ht="15" hidden="false" customHeight="false" outlineLevel="0" collapsed="false">
      <c r="E23" s="14" t="str">
        <f aca="false">IF($B23="","",IF($B23="Deposit",$C23,-$C23))</f>
        <v/>
      </c>
    </row>
    <row r="24" customFormat="false" ht="15" hidden="false" customHeight="false" outlineLevel="0" collapsed="false">
      <c r="E24" s="14" t="str">
        <f aca="false">IF($B24="","",IF($B24="Deposit",$C24,-$C24))</f>
        <v/>
      </c>
    </row>
    <row r="25" customFormat="false" ht="15" hidden="false" customHeight="false" outlineLevel="0" collapsed="false">
      <c r="E25" s="14" t="str">
        <f aca="false">IF($B25="","",IF($B25="Deposit",$C25,-$C25))</f>
        <v/>
      </c>
    </row>
    <row r="26" customFormat="false" ht="15" hidden="false" customHeight="false" outlineLevel="0" collapsed="false">
      <c r="E26" s="14" t="str">
        <f aca="false">IF($B26="","",IF($B26="Deposit",$C26,-$C26))</f>
        <v/>
      </c>
    </row>
    <row r="27" customFormat="false" ht="15" hidden="false" customHeight="false" outlineLevel="0" collapsed="false">
      <c r="E27" s="14" t="str">
        <f aca="false">IF($B27="","",IF($B27="Deposit",$C27,-$C27))</f>
        <v/>
      </c>
    </row>
    <row r="28" customFormat="false" ht="15" hidden="false" customHeight="false" outlineLevel="0" collapsed="false">
      <c r="E28" s="14" t="str">
        <f aca="false">IF($B28="","",IF($B28="Deposit",$C28,-$C28))</f>
        <v/>
      </c>
    </row>
    <row r="29" customFormat="false" ht="15" hidden="false" customHeight="false" outlineLevel="0" collapsed="false">
      <c r="E29" s="14" t="str">
        <f aca="false">IF($B29="","",IF($B29="Deposit",$C29,-$C29))</f>
        <v/>
      </c>
    </row>
    <row r="30" customFormat="false" ht="15" hidden="false" customHeight="false" outlineLevel="0" collapsed="false">
      <c r="E30" s="14" t="str">
        <f aca="false">IF($B30="","",IF($B30="Deposit",$C30,-$C30))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A4F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5" t="s">
        <v>124</v>
      </c>
    </row>
    <row r="3" customFormat="false" ht="15" hidden="false" customHeight="false" outlineLevel="0" collapsed="false">
      <c r="A3" s="10" t="s">
        <v>92</v>
      </c>
      <c r="B3" s="10" t="s">
        <v>125</v>
      </c>
      <c r="C3" s="10" t="s">
        <v>126</v>
      </c>
      <c r="D3" s="10" t="s">
        <v>127</v>
      </c>
    </row>
    <row r="4" customFormat="false" ht="15" hidden="false" customHeight="false" outlineLevel="0" collapsed="false">
      <c r="A4" s="7" t="s">
        <v>102</v>
      </c>
      <c r="B4" s="17" t="n">
        <v>510</v>
      </c>
      <c r="C4" s="7" t="s">
        <v>128</v>
      </c>
      <c r="D4" s="7" t="s">
        <v>129</v>
      </c>
    </row>
    <row r="5" customFormat="false" ht="15" hidden="false" customHeight="false" outlineLevel="0" collapsed="false">
      <c r="A5" s="7" t="s">
        <v>105</v>
      </c>
      <c r="B5" s="17" t="n">
        <v>235</v>
      </c>
      <c r="C5" s="7" t="s">
        <v>130</v>
      </c>
      <c r="D5" s="7" t="s">
        <v>131</v>
      </c>
    </row>
    <row r="6" customFormat="false" ht="15" hidden="false" customHeight="false" outlineLevel="0" collapsed="false">
      <c r="A6" s="7" t="s">
        <v>111</v>
      </c>
      <c r="B6" s="17" t="n">
        <v>141</v>
      </c>
      <c r="C6" s="7" t="s">
        <v>132</v>
      </c>
      <c r="D6" s="7" t="s">
        <v>131</v>
      </c>
    </row>
    <row r="7" customFormat="false" ht="15" hidden="false" customHeight="false" outlineLevel="0" collapsed="false">
      <c r="A7" s="7" t="s">
        <v>114</v>
      </c>
      <c r="B7" s="17" t="n">
        <v>432</v>
      </c>
      <c r="C7" s="7" t="s">
        <v>133</v>
      </c>
      <c r="D7" s="7" t="s">
        <v>131</v>
      </c>
    </row>
    <row r="8" customFormat="false" ht="15" hidden="false" customHeight="false" outlineLevel="0" collapsed="false">
      <c r="A8" s="7" t="s">
        <v>107</v>
      </c>
      <c r="B8" s="17" t="n">
        <v>24</v>
      </c>
      <c r="C8" s="7" t="s">
        <v>132</v>
      </c>
      <c r="D8" s="7" t="s">
        <v>131</v>
      </c>
    </row>
    <row r="9" customFormat="false" ht="15" hidden="false" customHeight="false" outlineLevel="0" collapsed="false">
      <c r="A9" s="7" t="s">
        <v>50</v>
      </c>
      <c r="B9" s="17" t="n">
        <v>555</v>
      </c>
      <c r="C9" s="7" t="s">
        <v>128</v>
      </c>
      <c r="D9" s="7" t="s">
        <v>129</v>
      </c>
    </row>
    <row r="15" customFormat="false" ht="15" hidden="false" customHeight="false" outlineLevel="0" collapsed="false">
      <c r="A15" s="5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F96E8"/>
    <pageSetUpPr fitToPage="false"/>
  </sheetPr>
  <dimension ref="A1:A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2" min="2" style="0" width="9"/>
    <col collapsed="false" customWidth="true" hidden="false" outlineLevel="0" max="31" min="23" style="0" width="13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5" t="s">
        <v>136</v>
      </c>
    </row>
    <row r="3" customFormat="false" ht="23.85" hidden="false" customHeight="false" outlineLevel="0" collapsed="false">
      <c r="A3" s="10" t="s">
        <v>60</v>
      </c>
      <c r="B3" s="21" t="s">
        <v>102</v>
      </c>
      <c r="C3" s="21" t="s">
        <v>105</v>
      </c>
      <c r="D3" s="21" t="s">
        <v>107</v>
      </c>
      <c r="E3" s="21" t="s">
        <v>111</v>
      </c>
      <c r="F3" s="21" t="s">
        <v>114</v>
      </c>
      <c r="G3" s="21"/>
      <c r="H3" s="21"/>
      <c r="I3" s="21"/>
      <c r="J3" s="21"/>
      <c r="K3" s="21"/>
      <c r="L3" s="10" t="s">
        <v>137</v>
      </c>
      <c r="M3" s="22" t="str">
        <f aca="false">IF(B$3="","·",B$3&amp;" sh")</f>
        <v>VOO sh</v>
      </c>
      <c r="N3" s="22" t="str">
        <f aca="false">IF(C$3="","·",C$3&amp;" sh")</f>
        <v>AAPL sh</v>
      </c>
      <c r="O3" s="22" t="str">
        <f aca="false">IF(D$3="","·",D$3&amp;" sh")</f>
        <v>INTC sh</v>
      </c>
      <c r="P3" s="22" t="str">
        <f aca="false">IF(E$3="","·",E$3&amp;" sh")</f>
        <v>NVDA sh</v>
      </c>
      <c r="Q3" s="22" t="str">
        <f aca="false">IF(F$3="","·",F$3&amp;" sh")</f>
        <v>MSFT sh</v>
      </c>
      <c r="R3" s="22" t="str">
        <f aca="false">IF(G$3="","·",G$3&amp;" sh")</f>
        <v>·</v>
      </c>
      <c r="S3" s="22" t="str">
        <f aca="false">IF(H$3="","·",H$3&amp;" sh")</f>
        <v>·</v>
      </c>
      <c r="T3" s="22" t="str">
        <f aca="false">IF(I$3="","·",I$3&amp;" sh")</f>
        <v>·</v>
      </c>
      <c r="U3" s="22" t="str">
        <f aca="false">IF(J$3="","·",J$3&amp;" sh")</f>
        <v>·</v>
      </c>
      <c r="V3" s="22" t="str">
        <f aca="false">IF(K$3="","·",K$3&amp;" sh")</f>
        <v>·</v>
      </c>
      <c r="W3" s="10" t="s">
        <v>138</v>
      </c>
      <c r="X3" s="10" t="s">
        <v>139</v>
      </c>
      <c r="Y3" s="10" t="s">
        <v>140</v>
      </c>
      <c r="Z3" s="10" t="s">
        <v>141</v>
      </c>
      <c r="AA3" s="10" t="s">
        <v>142</v>
      </c>
      <c r="AB3" s="10" t="s">
        <v>143</v>
      </c>
      <c r="AC3" s="10" t="s">
        <v>144</v>
      </c>
      <c r="AD3" s="10" t="s">
        <v>145</v>
      </c>
      <c r="AE3" s="10" t="s">
        <v>146</v>
      </c>
    </row>
    <row r="4" customFormat="false" ht="15" hidden="false" customHeight="false" outlineLevel="0" collapsed="false">
      <c r="A4" s="9" t="n">
        <v>46129</v>
      </c>
      <c r="B4" s="17" t="n">
        <v>485</v>
      </c>
      <c r="C4" s="17" t="n">
        <v>222</v>
      </c>
      <c r="D4" s="17" t="n">
        <v>33</v>
      </c>
      <c r="L4" s="17" t="n">
        <v>528</v>
      </c>
      <c r="M4" s="18" t="n">
        <f aca="false">IF($A4="",0,SUMIFS(Trades!$I$4:$I$40,Trades!$D$4:$D$40,B$3,Trades!$B$4:$B$40,"&lt;="&amp;$A4))</f>
        <v>20</v>
      </c>
      <c r="N4" s="18" t="n">
        <f aca="false">IF($A4="",0,SUMIFS(Trades!$I$4:$I$40,Trades!$D$4:$D$40,C$3,Trades!$B$4:$B$40,"&lt;="&amp;$A4))</f>
        <v>15</v>
      </c>
      <c r="O4" s="18" t="n">
        <f aca="false">IF($A4="",0,SUMIFS(Trades!$I$4:$I$40,Trades!$D$4:$D$40,D$3,Trades!$B$4:$B$40,"&lt;="&amp;$A4))</f>
        <v>40</v>
      </c>
      <c r="P4" s="18" t="n">
        <f aca="false">IF($A4="",0,SUMIFS(Trades!$I$4:$I$40,Trades!$D$4:$D$40,E$3,Trades!$B$4:$B$40,"&lt;="&amp;$A4))</f>
        <v>0</v>
      </c>
      <c r="Q4" s="18" t="n">
        <f aca="false">IF($A4="",0,SUMIFS(Trades!$I$4:$I$40,Trades!$D$4:$D$40,F$3,Trades!$B$4:$B$40,"&lt;="&amp;$A4))</f>
        <v>0</v>
      </c>
      <c r="R4" s="18" t="n">
        <f aca="false">IF($A4="",0,SUMIFS(Trades!$I$4:$I$40,Trades!$D$4:$D$40,G$3,Trades!$B$4:$B$40,"&lt;="&amp;$A4))</f>
        <v>0</v>
      </c>
      <c r="S4" s="18" t="n">
        <f aca="false">IF($A4="",0,SUMIFS(Trades!$I$4:$I$40,Trades!$D$4:$D$40,H$3,Trades!$B$4:$B$40,"&lt;="&amp;$A4))</f>
        <v>0</v>
      </c>
      <c r="T4" s="18" t="n">
        <f aca="false">IF($A4="",0,SUMIFS(Trades!$I$4:$I$40,Trades!$D$4:$D$40,I$3,Trades!$B$4:$B$40,"&lt;="&amp;$A4))</f>
        <v>0</v>
      </c>
      <c r="U4" s="18" t="n">
        <f aca="false">IF($A4="",0,SUMIFS(Trades!$I$4:$I$40,Trades!$D$4:$D$40,J$3,Trades!$B$4:$B$40,"&lt;="&amp;$A4))</f>
        <v>0</v>
      </c>
      <c r="V4" s="18" t="n">
        <f aca="false">IF($A4="",0,SUMIFS(Trades!$I$4:$I$40,Trades!$D$4:$D$40,K$3,Trades!$B$4:$B$40,"&lt;="&amp;$A4))</f>
        <v>0</v>
      </c>
      <c r="W4" s="14" t="n">
        <f aca="false">IF($A4="",0,Settings!$B$4+SUMIFS(CashEvents!$E$4:$E$30,CashEvents!$A$4:$A$30,"&lt;="&amp;$A4)+SUMIFS(Trades!$J$4:$J$40,Trades!$B$4:$B$40,"&lt;="&amp;$A4))</f>
        <v>10700</v>
      </c>
      <c r="X4" s="14" t="n">
        <f aca="false">IF($A4="","",SUMPRODUCT($B4:$K4,$M4:$V4)+$W4)</f>
        <v>25050</v>
      </c>
      <c r="AB4" s="23" t="n">
        <f aca="false">IF($A4="","",1)</f>
        <v>1</v>
      </c>
      <c r="AE4" s="23" t="n">
        <f aca="false">IF($A4="","",1)</f>
        <v>1</v>
      </c>
    </row>
    <row r="5" customFormat="false" ht="15" hidden="false" customHeight="false" outlineLevel="0" collapsed="false">
      <c r="A5" s="9" t="n">
        <v>46144</v>
      </c>
      <c r="B5" s="17" t="n">
        <v>490</v>
      </c>
      <c r="C5" s="17" t="n">
        <v>226</v>
      </c>
      <c r="D5" s="17" t="n">
        <v>31</v>
      </c>
      <c r="L5" s="17" t="n">
        <v>534</v>
      </c>
      <c r="M5" s="18" t="n">
        <f aca="false">IF($A5="",0,SUMIFS(Trades!$I$4:$I$40,Trades!$D$4:$D$40,B$3,Trades!$B$4:$B$40,"&lt;="&amp;$A5))</f>
        <v>20</v>
      </c>
      <c r="N5" s="18" t="n">
        <f aca="false">IF($A5="",0,SUMIFS(Trades!$I$4:$I$40,Trades!$D$4:$D$40,C$3,Trades!$B$4:$B$40,"&lt;="&amp;$A5))</f>
        <v>15</v>
      </c>
      <c r="O5" s="18" t="n">
        <f aca="false">IF($A5="",0,SUMIFS(Trades!$I$4:$I$40,Trades!$D$4:$D$40,D$3,Trades!$B$4:$B$40,"&lt;="&amp;$A5))</f>
        <v>40</v>
      </c>
      <c r="P5" s="18" t="n">
        <f aca="false">IF($A5="",0,SUMIFS(Trades!$I$4:$I$40,Trades!$D$4:$D$40,E$3,Trades!$B$4:$B$40,"&lt;="&amp;$A5))</f>
        <v>0</v>
      </c>
      <c r="Q5" s="18" t="n">
        <f aca="false">IF($A5="",0,SUMIFS(Trades!$I$4:$I$40,Trades!$D$4:$D$40,F$3,Trades!$B$4:$B$40,"&lt;="&amp;$A5))</f>
        <v>0</v>
      </c>
      <c r="R5" s="18" t="n">
        <f aca="false">IF($A5="",0,SUMIFS(Trades!$I$4:$I$40,Trades!$D$4:$D$40,G$3,Trades!$B$4:$B$40,"&lt;="&amp;$A5))</f>
        <v>0</v>
      </c>
      <c r="S5" s="18" t="n">
        <f aca="false">IF($A5="",0,SUMIFS(Trades!$I$4:$I$40,Trades!$D$4:$D$40,H$3,Trades!$B$4:$B$40,"&lt;="&amp;$A5))</f>
        <v>0</v>
      </c>
      <c r="T5" s="18" t="n">
        <f aca="false">IF($A5="",0,SUMIFS(Trades!$I$4:$I$40,Trades!$D$4:$D$40,I$3,Trades!$B$4:$B$40,"&lt;="&amp;$A5))</f>
        <v>0</v>
      </c>
      <c r="U5" s="18" t="n">
        <f aca="false">IF($A5="",0,SUMIFS(Trades!$I$4:$I$40,Trades!$D$4:$D$40,J$3,Trades!$B$4:$B$40,"&lt;="&amp;$A5))</f>
        <v>0</v>
      </c>
      <c r="V5" s="18" t="n">
        <f aca="false">IF($A5="",0,SUMIFS(Trades!$I$4:$I$40,Trades!$D$4:$D$40,K$3,Trades!$B$4:$B$40,"&lt;="&amp;$A5))</f>
        <v>0</v>
      </c>
      <c r="W5" s="14" t="n">
        <f aca="false">IF($A5="",0,Settings!$B$4+SUMIFS(CashEvents!$E$4:$E$30,CashEvents!$A$4:$A$30,"&lt;="&amp;$A5)+SUMIFS(Trades!$J$4:$J$40,Trades!$B$4:$B$40,"&lt;="&amp;$A5))</f>
        <v>10700</v>
      </c>
      <c r="X5" s="14" t="n">
        <f aca="false">IF($A5="","",SUMPRODUCT($B5:$K5,$M5:$V5)+$W5)</f>
        <v>25130</v>
      </c>
      <c r="Y5" s="14" t="n">
        <f aca="false">IF(OR($A5="",$A4=""),"",SUMIFS(CashEvents!$E$4:$E$30,CashEvents!$A$4:$A$30,"&gt;"&amp;$A4,CashEvents!$A$4:$A$30,"&lt;="&amp;$A5))</f>
        <v>0</v>
      </c>
      <c r="Z5" s="15" t="n">
        <f aca="false">IF(OR($A5="",$A4=""),"",($X5-$Y5)/$X4-1)</f>
        <v>0.00319361277445118</v>
      </c>
      <c r="AA5" s="15" t="n">
        <f aca="false">IF(OR($A5="",$L5="",$L4=""),"",$L5/$L4-1)</f>
        <v>0.0113636363636365</v>
      </c>
      <c r="AB5" s="23" t="n">
        <f aca="false">IF($A5="","",$AB4*(1+$Z5))</f>
        <v>1.00319361277445</v>
      </c>
      <c r="AC5" s="23" t="n">
        <f aca="false">IF($A5="","",MAX($AB$4:$AB5))</f>
        <v>1.00319361277445</v>
      </c>
      <c r="AD5" s="15" t="n">
        <f aca="false">IF($A5="","",$AB5/$AC5-1)</f>
        <v>0</v>
      </c>
      <c r="AE5" s="23" t="n">
        <f aca="false">IF($A5="","",$AE4*(1+$AA5))</f>
        <v>1.01136363636364</v>
      </c>
    </row>
    <row r="6" customFormat="false" ht="15" hidden="false" customHeight="false" outlineLevel="0" collapsed="false">
      <c r="A6" s="9" t="n">
        <v>46160</v>
      </c>
      <c r="B6" s="17" t="n">
        <v>492</v>
      </c>
      <c r="C6" s="17" t="n">
        <v>224</v>
      </c>
      <c r="D6" s="17" t="n">
        <v>29.5</v>
      </c>
      <c r="E6" s="17" t="n">
        <v>122</v>
      </c>
      <c r="L6" s="17" t="n">
        <v>536</v>
      </c>
      <c r="M6" s="18" t="n">
        <f aca="false">IF($A6="",0,SUMIFS(Trades!$I$4:$I$40,Trades!$D$4:$D$40,B$3,Trades!$B$4:$B$40,"&lt;="&amp;$A6))</f>
        <v>20</v>
      </c>
      <c r="N6" s="18" t="n">
        <f aca="false">IF($A6="",0,SUMIFS(Trades!$I$4:$I$40,Trades!$D$4:$D$40,C$3,Trades!$B$4:$B$40,"&lt;="&amp;$A6))</f>
        <v>15</v>
      </c>
      <c r="O6" s="18" t="n">
        <f aca="false">IF($A6="",0,SUMIFS(Trades!$I$4:$I$40,Trades!$D$4:$D$40,D$3,Trades!$B$4:$B$40,"&lt;="&amp;$A6))</f>
        <v>0</v>
      </c>
      <c r="P6" s="18" t="n">
        <f aca="false">IF($A6="",0,SUMIFS(Trades!$I$4:$I$40,Trades!$D$4:$D$40,E$3,Trades!$B$4:$B$40,"&lt;="&amp;$A6))</f>
        <v>10</v>
      </c>
      <c r="Q6" s="18" t="n">
        <f aca="false">IF($A6="",0,SUMIFS(Trades!$I$4:$I$40,Trades!$D$4:$D$40,F$3,Trades!$B$4:$B$40,"&lt;="&amp;$A6))</f>
        <v>0</v>
      </c>
      <c r="R6" s="18" t="n">
        <f aca="false">IF($A6="",0,SUMIFS(Trades!$I$4:$I$40,Trades!$D$4:$D$40,G$3,Trades!$B$4:$B$40,"&lt;="&amp;$A6))</f>
        <v>0</v>
      </c>
      <c r="S6" s="18" t="n">
        <f aca="false">IF($A6="",0,SUMIFS(Trades!$I$4:$I$40,Trades!$D$4:$D$40,H$3,Trades!$B$4:$B$40,"&lt;="&amp;$A6))</f>
        <v>0</v>
      </c>
      <c r="T6" s="18" t="n">
        <f aca="false">IF($A6="",0,SUMIFS(Trades!$I$4:$I$40,Trades!$D$4:$D$40,I$3,Trades!$B$4:$B$40,"&lt;="&amp;$A6))</f>
        <v>0</v>
      </c>
      <c r="U6" s="18" t="n">
        <f aca="false">IF($A6="",0,SUMIFS(Trades!$I$4:$I$40,Trades!$D$4:$D$40,J$3,Trades!$B$4:$B$40,"&lt;="&amp;$A6))</f>
        <v>0</v>
      </c>
      <c r="V6" s="18" t="n">
        <f aca="false">IF($A6="",0,SUMIFS(Trades!$I$4:$I$40,Trades!$D$4:$D$40,K$3,Trades!$B$4:$B$40,"&lt;="&amp;$A6))</f>
        <v>0</v>
      </c>
      <c r="W6" s="14" t="n">
        <f aca="false">IF($A6="",0,Settings!$B$4+SUMIFS(CashEvents!$E$4:$E$30,CashEvents!$A$4:$A$30,"&lt;="&amp;$A6)+SUMIFS(Trades!$J$4:$J$40,Trades!$B$4:$B$40,"&lt;="&amp;$A6))</f>
        <v>10700</v>
      </c>
      <c r="X6" s="14" t="n">
        <f aca="false">IF($A6="","",SUMPRODUCT($B6:$K6,$M6:$V6)+$W6)</f>
        <v>25120</v>
      </c>
      <c r="Y6" s="14" t="n">
        <f aca="false">IF(OR($A6="",$A5=""),"",SUMIFS(CashEvents!$E$4:$E$30,CashEvents!$A$4:$A$30,"&gt;"&amp;$A5,CashEvents!$A$4:$A$30,"&lt;="&amp;$A6))</f>
        <v>0</v>
      </c>
      <c r="Z6" s="15" t="n">
        <f aca="false">IF(OR($A6="",$A5=""),"",($X6-$Y6)/$X5-1)</f>
        <v>-0.000397930760047793</v>
      </c>
      <c r="AA6" s="15" t="n">
        <f aca="false">IF(OR($A6="",$L6="",$L5=""),"",$L6/$L5-1)</f>
        <v>0.00374531835205993</v>
      </c>
      <c r="AB6" s="23" t="n">
        <f aca="false">IF($A6="","",$AB5*(1+$Z6))</f>
        <v>1.00279441117764</v>
      </c>
      <c r="AC6" s="23" t="n">
        <f aca="false">IF($A6="","",MAX($AB$4:$AB6))</f>
        <v>1.00319361277445</v>
      </c>
      <c r="AD6" s="15" t="n">
        <f aca="false">IF($A6="","",$AB6/$AC6-1)</f>
        <v>-0.000397930760047793</v>
      </c>
      <c r="AE6" s="23" t="n">
        <f aca="false">IF($A6="","",$AE5*(1+$AA6))</f>
        <v>1.01515151515152</v>
      </c>
    </row>
    <row r="7" customFormat="false" ht="15" hidden="false" customHeight="false" outlineLevel="0" collapsed="false">
      <c r="A7" s="9" t="n">
        <v>46174</v>
      </c>
      <c r="B7" s="17" t="n">
        <v>498</v>
      </c>
      <c r="C7" s="17" t="n">
        <v>228</v>
      </c>
      <c r="D7" s="17" t="n">
        <v>27</v>
      </c>
      <c r="E7" s="17" t="n">
        <v>128</v>
      </c>
      <c r="L7" s="17" t="n">
        <v>542</v>
      </c>
      <c r="M7" s="18" t="n">
        <f aca="false">IF($A7="",0,SUMIFS(Trades!$I$4:$I$40,Trades!$D$4:$D$40,B$3,Trades!$B$4:$B$40,"&lt;="&amp;$A7))</f>
        <v>20</v>
      </c>
      <c r="N7" s="18" t="n">
        <f aca="false">IF($A7="",0,SUMIFS(Trades!$I$4:$I$40,Trades!$D$4:$D$40,C$3,Trades!$B$4:$B$40,"&lt;="&amp;$A7))</f>
        <v>15</v>
      </c>
      <c r="O7" s="18" t="n">
        <f aca="false">IF($A7="",0,SUMIFS(Trades!$I$4:$I$40,Trades!$D$4:$D$40,D$3,Trades!$B$4:$B$40,"&lt;="&amp;$A7))</f>
        <v>0</v>
      </c>
      <c r="P7" s="18" t="n">
        <f aca="false">IF($A7="",0,SUMIFS(Trades!$I$4:$I$40,Trades!$D$4:$D$40,E$3,Trades!$B$4:$B$40,"&lt;="&amp;$A7))</f>
        <v>10</v>
      </c>
      <c r="Q7" s="18" t="n">
        <f aca="false">IF($A7="",0,SUMIFS(Trades!$I$4:$I$40,Trades!$D$4:$D$40,F$3,Trades!$B$4:$B$40,"&lt;="&amp;$A7))</f>
        <v>0</v>
      </c>
      <c r="R7" s="18" t="n">
        <f aca="false">IF($A7="",0,SUMIFS(Trades!$I$4:$I$40,Trades!$D$4:$D$40,G$3,Trades!$B$4:$B$40,"&lt;="&amp;$A7))</f>
        <v>0</v>
      </c>
      <c r="S7" s="18" t="n">
        <f aca="false">IF($A7="",0,SUMIFS(Trades!$I$4:$I$40,Trades!$D$4:$D$40,H$3,Trades!$B$4:$B$40,"&lt;="&amp;$A7))</f>
        <v>0</v>
      </c>
      <c r="T7" s="18" t="n">
        <f aca="false">IF($A7="",0,SUMIFS(Trades!$I$4:$I$40,Trades!$D$4:$D$40,I$3,Trades!$B$4:$B$40,"&lt;="&amp;$A7))</f>
        <v>0</v>
      </c>
      <c r="U7" s="18" t="n">
        <f aca="false">IF($A7="",0,SUMIFS(Trades!$I$4:$I$40,Trades!$D$4:$D$40,J$3,Trades!$B$4:$B$40,"&lt;="&amp;$A7))</f>
        <v>0</v>
      </c>
      <c r="V7" s="18" t="n">
        <f aca="false">IF($A7="",0,SUMIFS(Trades!$I$4:$I$40,Trades!$D$4:$D$40,K$3,Trades!$B$4:$B$40,"&lt;="&amp;$A7))</f>
        <v>0</v>
      </c>
      <c r="W7" s="14" t="n">
        <f aca="false">IF($A7="",0,Settings!$B$4+SUMIFS(CashEvents!$E$4:$E$30,CashEvents!$A$4:$A$30,"&lt;="&amp;$A7)+SUMIFS(Trades!$J$4:$J$40,Trades!$B$4:$B$40,"&lt;="&amp;$A7))</f>
        <v>13700</v>
      </c>
      <c r="X7" s="14" t="n">
        <f aca="false">IF($A7="","",SUMPRODUCT($B7:$K7,$M7:$V7)+$W7)</f>
        <v>28360</v>
      </c>
      <c r="Y7" s="14" t="n">
        <f aca="false">IF(OR($A7="",$A6=""),"",SUMIFS(CashEvents!$E$4:$E$30,CashEvents!$A$4:$A$30,"&gt;"&amp;$A6,CashEvents!$A$4:$A$30,"&lt;="&amp;$A7))</f>
        <v>3000</v>
      </c>
      <c r="Z7" s="15" t="n">
        <f aca="false">IF(OR($A7="",$A6=""),"",($X7-$Y7)/$X6-1)</f>
        <v>0.00955414012738864</v>
      </c>
      <c r="AA7" s="15" t="n">
        <f aca="false">IF(OR($A7="",$L7="",$L6=""),"",$L7/$L6-1)</f>
        <v>0.0111940298507462</v>
      </c>
      <c r="AB7" s="23" t="n">
        <f aca="false">IF($A7="","",$AB6*(1+$Z7))</f>
        <v>1.012375249501</v>
      </c>
      <c r="AC7" s="23" t="n">
        <f aca="false">IF($A7="","",MAX($AB$4:$AB7))</f>
        <v>1.012375249501</v>
      </c>
      <c r="AD7" s="15" t="n">
        <f aca="false">IF($A7="","",$AB7/$AC7-1)</f>
        <v>0</v>
      </c>
      <c r="AE7" s="23" t="n">
        <f aca="false">IF($A7="","",$AE6*(1+$AA7))</f>
        <v>1.02651515151515</v>
      </c>
    </row>
    <row r="8" customFormat="false" ht="15" hidden="false" customHeight="false" outlineLevel="0" collapsed="false">
      <c r="A8" s="9" t="n">
        <v>46191</v>
      </c>
      <c r="B8" s="17" t="n">
        <v>503</v>
      </c>
      <c r="C8" s="17" t="n">
        <v>231</v>
      </c>
      <c r="D8" s="17" t="n">
        <v>25.5</v>
      </c>
      <c r="E8" s="17" t="n">
        <v>134</v>
      </c>
      <c r="F8" s="17" t="n">
        <v>424</v>
      </c>
      <c r="L8" s="17" t="n">
        <v>548</v>
      </c>
      <c r="M8" s="18" t="n">
        <f aca="false">IF($A8="",0,SUMIFS(Trades!$I$4:$I$40,Trades!$D$4:$D$40,B$3,Trades!$B$4:$B$40,"&lt;="&amp;$A8))</f>
        <v>20</v>
      </c>
      <c r="N8" s="18" t="n">
        <f aca="false">IF($A8="",0,SUMIFS(Trades!$I$4:$I$40,Trades!$D$4:$D$40,C$3,Trades!$B$4:$B$40,"&lt;="&amp;$A8))</f>
        <v>10</v>
      </c>
      <c r="O8" s="18" t="n">
        <f aca="false">IF($A8="",0,SUMIFS(Trades!$I$4:$I$40,Trades!$D$4:$D$40,D$3,Trades!$B$4:$B$40,"&lt;="&amp;$A8))</f>
        <v>0</v>
      </c>
      <c r="P8" s="18" t="n">
        <f aca="false">IF($A8="",0,SUMIFS(Trades!$I$4:$I$40,Trades!$D$4:$D$40,E$3,Trades!$B$4:$B$40,"&lt;="&amp;$A8))</f>
        <v>10</v>
      </c>
      <c r="Q8" s="18" t="n">
        <f aca="false">IF($A8="",0,SUMIFS(Trades!$I$4:$I$40,Trades!$D$4:$D$40,F$3,Trades!$B$4:$B$40,"&lt;="&amp;$A8))</f>
        <v>3</v>
      </c>
      <c r="R8" s="18" t="n">
        <f aca="false">IF($A8="",0,SUMIFS(Trades!$I$4:$I$40,Trades!$D$4:$D$40,G$3,Trades!$B$4:$B$40,"&lt;="&amp;$A8))</f>
        <v>0</v>
      </c>
      <c r="S8" s="18" t="n">
        <f aca="false">IF($A8="",0,SUMIFS(Trades!$I$4:$I$40,Trades!$D$4:$D$40,H$3,Trades!$B$4:$B$40,"&lt;="&amp;$A8))</f>
        <v>0</v>
      </c>
      <c r="T8" s="18" t="n">
        <f aca="false">IF($A8="",0,SUMIFS(Trades!$I$4:$I$40,Trades!$D$4:$D$40,I$3,Trades!$B$4:$B$40,"&lt;="&amp;$A8))</f>
        <v>0</v>
      </c>
      <c r="U8" s="18" t="n">
        <f aca="false">IF($A8="",0,SUMIFS(Trades!$I$4:$I$40,Trades!$D$4:$D$40,J$3,Trades!$B$4:$B$40,"&lt;="&amp;$A8))</f>
        <v>0</v>
      </c>
      <c r="V8" s="18" t="n">
        <f aca="false">IF($A8="",0,SUMIFS(Trades!$I$4:$I$40,Trades!$D$4:$D$40,K$3,Trades!$B$4:$B$40,"&lt;="&amp;$A8))</f>
        <v>0</v>
      </c>
      <c r="W8" s="14" t="n">
        <f aca="false">IF($A8="",0,Settings!$B$4+SUMIFS(CashEvents!$E$4:$E$30,CashEvents!$A$4:$A$30,"&lt;="&amp;$A8)+SUMIFS(Trades!$J$4:$J$40,Trades!$B$4:$B$40,"&lt;="&amp;$A8))</f>
        <v>13590</v>
      </c>
      <c r="X8" s="14" t="n">
        <f aca="false">IF($A8="","",SUMPRODUCT($B8:$K8,$M8:$V8)+$W8)</f>
        <v>28572</v>
      </c>
      <c r="Y8" s="14" t="n">
        <f aca="false">IF(OR($A8="",$A7=""),"",SUMIFS(CashEvents!$E$4:$E$30,CashEvents!$A$4:$A$30,"&gt;"&amp;$A7,CashEvents!$A$4:$A$30,"&lt;="&amp;$A8))</f>
        <v>0</v>
      </c>
      <c r="Z8" s="15" t="n">
        <f aca="false">IF(OR($A8="",$A7=""),"",($X8-$Y8)/$X7-1)</f>
        <v>0.00747531734837792</v>
      </c>
      <c r="AA8" s="15" t="n">
        <f aca="false">IF(OR($A8="",$L8="",$L7=""),"",$L8/$L7-1)</f>
        <v>0.0110701107011071</v>
      </c>
      <c r="AB8" s="23" t="n">
        <f aca="false">IF($A8="","",$AB7*(1+$Z8))</f>
        <v>1.01994307576666</v>
      </c>
      <c r="AC8" s="23" t="n">
        <f aca="false">IF($A8="","",MAX($AB$4:$AB8))</f>
        <v>1.01994307576666</v>
      </c>
      <c r="AD8" s="15" t="n">
        <f aca="false">IF($A8="","",$AB8/$AC8-1)</f>
        <v>0</v>
      </c>
      <c r="AE8" s="23" t="n">
        <f aca="false">IF($A8="","",$AE7*(1+$AA8))</f>
        <v>1.03787878787879</v>
      </c>
    </row>
    <row r="9" customFormat="false" ht="15" hidden="false" customHeight="false" outlineLevel="0" collapsed="false">
      <c r="A9" s="9" t="n">
        <v>46197</v>
      </c>
      <c r="B9" s="17" t="n">
        <v>507</v>
      </c>
      <c r="C9" s="17" t="n">
        <v>233</v>
      </c>
      <c r="D9" s="17" t="n">
        <v>24.8</v>
      </c>
      <c r="E9" s="17" t="n">
        <v>138</v>
      </c>
      <c r="F9" s="17" t="n">
        <v>428</v>
      </c>
      <c r="L9" s="17" t="n">
        <v>552</v>
      </c>
      <c r="M9" s="18" t="n">
        <f aca="false">IF($A9="",0,SUMIFS(Trades!$I$4:$I$40,Trades!$D$4:$D$40,B$3,Trades!$B$4:$B$40,"&lt;="&amp;$A9))</f>
        <v>20</v>
      </c>
      <c r="N9" s="18" t="n">
        <f aca="false">IF($A9="",0,SUMIFS(Trades!$I$4:$I$40,Trades!$D$4:$D$40,C$3,Trades!$B$4:$B$40,"&lt;="&amp;$A9))</f>
        <v>10</v>
      </c>
      <c r="O9" s="18" t="n">
        <f aca="false">IF($A9="",0,SUMIFS(Trades!$I$4:$I$40,Trades!$D$4:$D$40,D$3,Trades!$B$4:$B$40,"&lt;="&amp;$A9))</f>
        <v>0</v>
      </c>
      <c r="P9" s="18" t="n">
        <f aca="false">IF($A9="",0,SUMIFS(Trades!$I$4:$I$40,Trades!$D$4:$D$40,E$3,Trades!$B$4:$B$40,"&lt;="&amp;$A9))</f>
        <v>10</v>
      </c>
      <c r="Q9" s="18" t="n">
        <f aca="false">IF($A9="",0,SUMIFS(Trades!$I$4:$I$40,Trades!$D$4:$D$40,F$3,Trades!$B$4:$B$40,"&lt;="&amp;$A9))</f>
        <v>3</v>
      </c>
      <c r="R9" s="18" t="n">
        <f aca="false">IF($A9="",0,SUMIFS(Trades!$I$4:$I$40,Trades!$D$4:$D$40,G$3,Trades!$B$4:$B$40,"&lt;="&amp;$A9))</f>
        <v>0</v>
      </c>
      <c r="S9" s="18" t="n">
        <f aca="false">IF($A9="",0,SUMIFS(Trades!$I$4:$I$40,Trades!$D$4:$D$40,H$3,Trades!$B$4:$B$40,"&lt;="&amp;$A9))</f>
        <v>0</v>
      </c>
      <c r="T9" s="18" t="n">
        <f aca="false">IF($A9="",0,SUMIFS(Trades!$I$4:$I$40,Trades!$D$4:$D$40,I$3,Trades!$B$4:$B$40,"&lt;="&amp;$A9))</f>
        <v>0</v>
      </c>
      <c r="U9" s="18" t="n">
        <f aca="false">IF($A9="",0,SUMIFS(Trades!$I$4:$I$40,Trades!$D$4:$D$40,J$3,Trades!$B$4:$B$40,"&lt;="&amp;$A9))</f>
        <v>0</v>
      </c>
      <c r="V9" s="18" t="n">
        <f aca="false">IF($A9="",0,SUMIFS(Trades!$I$4:$I$40,Trades!$D$4:$D$40,K$3,Trades!$B$4:$B$40,"&lt;="&amp;$A9))</f>
        <v>0</v>
      </c>
      <c r="W9" s="14" t="n">
        <f aca="false">IF($A9="",0,Settings!$B$4+SUMIFS(CashEvents!$E$4:$E$30,CashEvents!$A$4:$A$30,"&lt;="&amp;$A9)+SUMIFS(Trades!$J$4:$J$40,Trades!$B$4:$B$40,"&lt;="&amp;$A9))</f>
        <v>13590</v>
      </c>
      <c r="X9" s="14" t="n">
        <f aca="false">IF($A9="","",SUMPRODUCT($B9:$K9,$M9:$V9)+$W9)</f>
        <v>28724</v>
      </c>
      <c r="Y9" s="14" t="n">
        <f aca="false">IF(OR($A9="",$A8=""),"",SUMIFS(CashEvents!$E$4:$E$30,CashEvents!$A$4:$A$30,"&gt;"&amp;$A8,CashEvents!$A$4:$A$30,"&lt;="&amp;$A9))</f>
        <v>0</v>
      </c>
      <c r="Z9" s="15" t="n">
        <f aca="false">IF(OR($A9="",$A8=""),"",($X9-$Y9)/$X8-1)</f>
        <v>0.00531989360212792</v>
      </c>
      <c r="AA9" s="15" t="n">
        <f aca="false">IF(OR($A9="",$L9="",$L8=""),"",$L9/$L8-1)</f>
        <v>0.0072992700729928</v>
      </c>
      <c r="AB9" s="23" t="n">
        <f aca="false">IF($A9="","",$AB8*(1+$Z9))</f>
        <v>1.02536906440997</v>
      </c>
      <c r="AC9" s="23" t="n">
        <f aca="false">IF($A9="","",MAX($AB$4:$AB9))</f>
        <v>1.02536906440997</v>
      </c>
      <c r="AD9" s="15" t="n">
        <f aca="false">IF($A9="","",$AB9/$AC9-1)</f>
        <v>0</v>
      </c>
      <c r="AE9" s="23" t="n">
        <f aca="false">IF($A9="","",$AE8*(1+$AA9))</f>
        <v>1.04545454545455</v>
      </c>
    </row>
    <row r="10" customFormat="false" ht="15" hidden="false" customHeight="false" outlineLevel="0" collapsed="false">
      <c r="A10" s="9" t="n">
        <v>46203</v>
      </c>
      <c r="B10" s="17" t="n">
        <v>510</v>
      </c>
      <c r="C10" s="17" t="n">
        <v>235</v>
      </c>
      <c r="D10" s="17" t="n">
        <v>24</v>
      </c>
      <c r="E10" s="17" t="n">
        <v>141</v>
      </c>
      <c r="F10" s="17" t="n">
        <v>432</v>
      </c>
      <c r="L10" s="17" t="n">
        <v>555</v>
      </c>
      <c r="M10" s="18" t="n">
        <f aca="false">IF($A10="",0,SUMIFS(Trades!$I$4:$I$40,Trades!$D$4:$D$40,B$3,Trades!$B$4:$B$40,"&lt;="&amp;$A10))</f>
        <v>20</v>
      </c>
      <c r="N10" s="18" t="n">
        <f aca="false">IF($A10="",0,SUMIFS(Trades!$I$4:$I$40,Trades!$D$4:$D$40,C$3,Trades!$B$4:$B$40,"&lt;="&amp;$A10))</f>
        <v>10</v>
      </c>
      <c r="O10" s="18" t="n">
        <f aca="false">IF($A10="",0,SUMIFS(Trades!$I$4:$I$40,Trades!$D$4:$D$40,D$3,Trades!$B$4:$B$40,"&lt;="&amp;$A10))</f>
        <v>0</v>
      </c>
      <c r="P10" s="18" t="n">
        <f aca="false">IF($A10="",0,SUMIFS(Trades!$I$4:$I$40,Trades!$D$4:$D$40,E$3,Trades!$B$4:$B$40,"&lt;="&amp;$A10))</f>
        <v>10</v>
      </c>
      <c r="Q10" s="18" t="n">
        <f aca="false">IF($A10="",0,SUMIFS(Trades!$I$4:$I$40,Trades!$D$4:$D$40,F$3,Trades!$B$4:$B$40,"&lt;="&amp;$A10))</f>
        <v>3</v>
      </c>
      <c r="R10" s="18" t="n">
        <f aca="false">IF($A10="",0,SUMIFS(Trades!$I$4:$I$40,Trades!$D$4:$D$40,G$3,Trades!$B$4:$B$40,"&lt;="&amp;$A10))</f>
        <v>0</v>
      </c>
      <c r="S10" s="18" t="n">
        <f aca="false">IF($A10="",0,SUMIFS(Trades!$I$4:$I$40,Trades!$D$4:$D$40,H$3,Trades!$B$4:$B$40,"&lt;="&amp;$A10))</f>
        <v>0</v>
      </c>
      <c r="T10" s="18" t="n">
        <f aca="false">IF($A10="",0,SUMIFS(Trades!$I$4:$I$40,Trades!$D$4:$D$40,I$3,Trades!$B$4:$B$40,"&lt;="&amp;$A10))</f>
        <v>0</v>
      </c>
      <c r="U10" s="18" t="n">
        <f aca="false">IF($A10="",0,SUMIFS(Trades!$I$4:$I$40,Trades!$D$4:$D$40,J$3,Trades!$B$4:$B$40,"&lt;="&amp;$A10))</f>
        <v>0</v>
      </c>
      <c r="V10" s="18" t="n">
        <f aca="false">IF($A10="",0,SUMIFS(Trades!$I$4:$I$40,Trades!$D$4:$D$40,K$3,Trades!$B$4:$B$40,"&lt;="&amp;$A10))</f>
        <v>0</v>
      </c>
      <c r="W10" s="14" t="n">
        <f aca="false">IF($A10="",0,Settings!$B$4+SUMIFS(CashEvents!$E$4:$E$30,CashEvents!$A$4:$A$30,"&lt;="&amp;$A10)+SUMIFS(Trades!$J$4:$J$40,Trades!$B$4:$B$40,"&lt;="&amp;$A10))</f>
        <v>13590</v>
      </c>
      <c r="X10" s="14" t="n">
        <f aca="false">IF($A10="","",SUMPRODUCT($B10:$K10,$M10:$V10)+$W10)</f>
        <v>28846</v>
      </c>
      <c r="Y10" s="14" t="n">
        <f aca="false">IF(OR($A10="",$A9=""),"",SUMIFS(CashEvents!$E$4:$E$30,CashEvents!$A$4:$A$30,"&gt;"&amp;$A9,CashEvents!$A$4:$A$30,"&lt;="&amp;$A10))</f>
        <v>0</v>
      </c>
      <c r="Z10" s="15" t="n">
        <f aca="false">IF(OR($A10="",$A9=""),"",($X10-$Y10)/$X9-1)</f>
        <v>0.00424731931485867</v>
      </c>
      <c r="AA10" s="15" t="n">
        <f aca="false">IF(OR($A10="",$L10="",$L9=""),"",$L10/$L9-1)</f>
        <v>0.00543478260869557</v>
      </c>
      <c r="AB10" s="23" t="n">
        <f aca="false">IF($A10="","",$AB9*(1+$Z10))</f>
        <v>1.02972413424209</v>
      </c>
      <c r="AC10" s="23" t="n">
        <f aca="false">IF($A10="","",MAX($AB$4:$AB10))</f>
        <v>1.02972413424209</v>
      </c>
      <c r="AD10" s="15" t="n">
        <f aca="false">IF($A10="","",$AB10/$AC10-1)</f>
        <v>0</v>
      </c>
      <c r="AE10" s="23" t="n">
        <f aca="false">IF($A10="","",$AE9*(1+$AA10))</f>
        <v>1.05113636363636</v>
      </c>
    </row>
    <row r="11" customFormat="false" ht="15" hidden="false" customHeight="false" outlineLevel="0" collapsed="false">
      <c r="M11" s="18" t="n">
        <f aca="false">IF($A11="",0,SUMIFS(Trades!$I$4:$I$40,Trades!$D$4:$D$40,B$3,Trades!$B$4:$B$40,"&lt;="&amp;$A11))</f>
        <v>0</v>
      </c>
      <c r="N11" s="18" t="n">
        <f aca="false">IF($A11="",0,SUMIFS(Trades!$I$4:$I$40,Trades!$D$4:$D$40,C$3,Trades!$B$4:$B$40,"&lt;="&amp;$A11))</f>
        <v>0</v>
      </c>
      <c r="O11" s="18" t="n">
        <f aca="false">IF($A11="",0,SUMIFS(Trades!$I$4:$I$40,Trades!$D$4:$D$40,D$3,Trades!$B$4:$B$40,"&lt;="&amp;$A11))</f>
        <v>0</v>
      </c>
      <c r="P11" s="18" t="n">
        <f aca="false">IF($A11="",0,SUMIFS(Trades!$I$4:$I$40,Trades!$D$4:$D$40,E$3,Trades!$B$4:$B$40,"&lt;="&amp;$A11))</f>
        <v>0</v>
      </c>
      <c r="Q11" s="18" t="n">
        <f aca="false">IF($A11="",0,SUMIFS(Trades!$I$4:$I$40,Trades!$D$4:$D$40,F$3,Trades!$B$4:$B$40,"&lt;="&amp;$A11))</f>
        <v>0</v>
      </c>
      <c r="R11" s="18" t="n">
        <f aca="false">IF($A11="",0,SUMIFS(Trades!$I$4:$I$40,Trades!$D$4:$D$40,G$3,Trades!$B$4:$B$40,"&lt;="&amp;$A11))</f>
        <v>0</v>
      </c>
      <c r="S11" s="18" t="n">
        <f aca="false">IF($A11="",0,SUMIFS(Trades!$I$4:$I$40,Trades!$D$4:$D$40,H$3,Trades!$B$4:$B$40,"&lt;="&amp;$A11))</f>
        <v>0</v>
      </c>
      <c r="T11" s="18" t="n">
        <f aca="false">IF($A11="",0,SUMIFS(Trades!$I$4:$I$40,Trades!$D$4:$D$40,I$3,Trades!$B$4:$B$40,"&lt;="&amp;$A11))</f>
        <v>0</v>
      </c>
      <c r="U11" s="18" t="n">
        <f aca="false">IF($A11="",0,SUMIFS(Trades!$I$4:$I$40,Trades!$D$4:$D$40,J$3,Trades!$B$4:$B$40,"&lt;="&amp;$A11))</f>
        <v>0</v>
      </c>
      <c r="V11" s="18" t="n">
        <f aca="false">IF($A11="",0,SUMIFS(Trades!$I$4:$I$40,Trades!$D$4:$D$40,K$3,Trades!$B$4:$B$40,"&lt;="&amp;$A11))</f>
        <v>0</v>
      </c>
      <c r="W11" s="14" t="n">
        <f aca="false">IF($A11="",0,Settings!$B$4+SUMIFS(CashEvents!$E$4:$E$30,CashEvents!$A$4:$A$30,"&lt;="&amp;$A11)+SUMIFS(Trades!$J$4:$J$40,Trades!$B$4:$B$40,"&lt;="&amp;$A11))</f>
        <v>0</v>
      </c>
      <c r="X11" s="14" t="str">
        <f aca="false">IF($A11="","",SUMPRODUCT($B11:$K11,$M11:$V11)+$W11)</f>
        <v/>
      </c>
      <c r="Y11" s="14" t="str">
        <f aca="false">IF(OR($A11="",$A10=""),"",SUMIFS(CashEvents!$E$4:$E$30,CashEvents!$A$4:$A$30,"&gt;"&amp;$A10,CashEvents!$A$4:$A$30,"&lt;="&amp;$A11))</f>
        <v/>
      </c>
      <c r="Z11" s="15" t="str">
        <f aca="false">IF(OR($A11="",$A10=""),"",($X11-$Y11)/$X10-1)</f>
        <v/>
      </c>
      <c r="AA11" s="15" t="str">
        <f aca="false">IF(OR($A11="",$L11="",$L10=""),"",$L11/$L10-1)</f>
        <v/>
      </c>
      <c r="AB11" s="23" t="str">
        <f aca="false">IF($A11="","",$AB10*(1+$Z11))</f>
        <v/>
      </c>
      <c r="AC11" s="23" t="str">
        <f aca="false">IF($A11="","",MAX($AB$4:$AB11))</f>
        <v/>
      </c>
      <c r="AD11" s="15" t="str">
        <f aca="false">IF($A11="","",$AB11/$AC11-1)</f>
        <v/>
      </c>
      <c r="AE11" s="23" t="str">
        <f aca="false">IF($A11="","",$AE10*(1+$AA11))</f>
        <v/>
      </c>
    </row>
    <row r="12" customFormat="false" ht="15" hidden="false" customHeight="false" outlineLevel="0" collapsed="false">
      <c r="M12" s="18" t="n">
        <f aca="false">IF($A12="",0,SUMIFS(Trades!$I$4:$I$40,Trades!$D$4:$D$40,B$3,Trades!$B$4:$B$40,"&lt;="&amp;$A12))</f>
        <v>0</v>
      </c>
      <c r="N12" s="18" t="n">
        <f aca="false">IF($A12="",0,SUMIFS(Trades!$I$4:$I$40,Trades!$D$4:$D$40,C$3,Trades!$B$4:$B$40,"&lt;="&amp;$A12))</f>
        <v>0</v>
      </c>
      <c r="O12" s="18" t="n">
        <f aca="false">IF($A12="",0,SUMIFS(Trades!$I$4:$I$40,Trades!$D$4:$D$40,D$3,Trades!$B$4:$B$40,"&lt;="&amp;$A12))</f>
        <v>0</v>
      </c>
      <c r="P12" s="18" t="n">
        <f aca="false">IF($A12="",0,SUMIFS(Trades!$I$4:$I$40,Trades!$D$4:$D$40,E$3,Trades!$B$4:$B$40,"&lt;="&amp;$A12))</f>
        <v>0</v>
      </c>
      <c r="Q12" s="18" t="n">
        <f aca="false">IF($A12="",0,SUMIFS(Trades!$I$4:$I$40,Trades!$D$4:$D$40,F$3,Trades!$B$4:$B$40,"&lt;="&amp;$A12))</f>
        <v>0</v>
      </c>
      <c r="R12" s="18" t="n">
        <f aca="false">IF($A12="",0,SUMIFS(Trades!$I$4:$I$40,Trades!$D$4:$D$40,G$3,Trades!$B$4:$B$40,"&lt;="&amp;$A12))</f>
        <v>0</v>
      </c>
      <c r="S12" s="18" t="n">
        <f aca="false">IF($A12="",0,SUMIFS(Trades!$I$4:$I$40,Trades!$D$4:$D$40,H$3,Trades!$B$4:$B$40,"&lt;="&amp;$A12))</f>
        <v>0</v>
      </c>
      <c r="T12" s="18" t="n">
        <f aca="false">IF($A12="",0,SUMIFS(Trades!$I$4:$I$40,Trades!$D$4:$D$40,I$3,Trades!$B$4:$B$40,"&lt;="&amp;$A12))</f>
        <v>0</v>
      </c>
      <c r="U12" s="18" t="n">
        <f aca="false">IF($A12="",0,SUMIFS(Trades!$I$4:$I$40,Trades!$D$4:$D$40,J$3,Trades!$B$4:$B$40,"&lt;="&amp;$A12))</f>
        <v>0</v>
      </c>
      <c r="V12" s="18" t="n">
        <f aca="false">IF($A12="",0,SUMIFS(Trades!$I$4:$I$40,Trades!$D$4:$D$40,K$3,Trades!$B$4:$B$40,"&lt;="&amp;$A12))</f>
        <v>0</v>
      </c>
      <c r="W12" s="14" t="n">
        <f aca="false">IF($A12="",0,Settings!$B$4+SUMIFS(CashEvents!$E$4:$E$30,CashEvents!$A$4:$A$30,"&lt;="&amp;$A12)+SUMIFS(Trades!$J$4:$J$40,Trades!$B$4:$B$40,"&lt;="&amp;$A12))</f>
        <v>0</v>
      </c>
      <c r="X12" s="14" t="str">
        <f aca="false">IF($A12="","",SUMPRODUCT($B12:$K12,$M12:$V12)+$W12)</f>
        <v/>
      </c>
      <c r="Y12" s="14" t="str">
        <f aca="false">IF(OR($A12="",$A11=""),"",SUMIFS(CashEvents!$E$4:$E$30,CashEvents!$A$4:$A$30,"&gt;"&amp;$A11,CashEvents!$A$4:$A$30,"&lt;="&amp;$A12))</f>
        <v/>
      </c>
      <c r="Z12" s="15" t="str">
        <f aca="false">IF(OR($A12="",$A11=""),"",($X12-$Y12)/$X11-1)</f>
        <v/>
      </c>
      <c r="AA12" s="15" t="str">
        <f aca="false">IF(OR($A12="",$L12="",$L11=""),"",$L12/$L11-1)</f>
        <v/>
      </c>
      <c r="AB12" s="23" t="str">
        <f aca="false">IF($A12="","",$AB11*(1+$Z12))</f>
        <v/>
      </c>
      <c r="AC12" s="23" t="str">
        <f aca="false">IF($A12="","",MAX($AB$4:$AB12))</f>
        <v/>
      </c>
      <c r="AD12" s="15" t="str">
        <f aca="false">IF($A12="","",$AB12/$AC12-1)</f>
        <v/>
      </c>
      <c r="AE12" s="23" t="str">
        <f aca="false">IF($A12="","",$AE11*(1+$AA12))</f>
        <v/>
      </c>
    </row>
    <row r="13" customFormat="false" ht="15" hidden="false" customHeight="false" outlineLevel="0" collapsed="false">
      <c r="M13" s="18" t="n">
        <f aca="false">IF($A13="",0,SUMIFS(Trades!$I$4:$I$40,Trades!$D$4:$D$40,B$3,Trades!$B$4:$B$40,"&lt;="&amp;$A13))</f>
        <v>0</v>
      </c>
      <c r="N13" s="18" t="n">
        <f aca="false">IF($A13="",0,SUMIFS(Trades!$I$4:$I$40,Trades!$D$4:$D$40,C$3,Trades!$B$4:$B$40,"&lt;="&amp;$A13))</f>
        <v>0</v>
      </c>
      <c r="O13" s="18" t="n">
        <f aca="false">IF($A13="",0,SUMIFS(Trades!$I$4:$I$40,Trades!$D$4:$D$40,D$3,Trades!$B$4:$B$40,"&lt;="&amp;$A13))</f>
        <v>0</v>
      </c>
      <c r="P13" s="18" t="n">
        <f aca="false">IF($A13="",0,SUMIFS(Trades!$I$4:$I$40,Trades!$D$4:$D$40,E$3,Trades!$B$4:$B$40,"&lt;="&amp;$A13))</f>
        <v>0</v>
      </c>
      <c r="Q13" s="18" t="n">
        <f aca="false">IF($A13="",0,SUMIFS(Trades!$I$4:$I$40,Trades!$D$4:$D$40,F$3,Trades!$B$4:$B$40,"&lt;="&amp;$A13))</f>
        <v>0</v>
      </c>
      <c r="R13" s="18" t="n">
        <f aca="false">IF($A13="",0,SUMIFS(Trades!$I$4:$I$40,Trades!$D$4:$D$40,G$3,Trades!$B$4:$B$40,"&lt;="&amp;$A13))</f>
        <v>0</v>
      </c>
      <c r="S13" s="18" t="n">
        <f aca="false">IF($A13="",0,SUMIFS(Trades!$I$4:$I$40,Trades!$D$4:$D$40,H$3,Trades!$B$4:$B$40,"&lt;="&amp;$A13))</f>
        <v>0</v>
      </c>
      <c r="T13" s="18" t="n">
        <f aca="false">IF($A13="",0,SUMIFS(Trades!$I$4:$I$40,Trades!$D$4:$D$40,I$3,Trades!$B$4:$B$40,"&lt;="&amp;$A13))</f>
        <v>0</v>
      </c>
      <c r="U13" s="18" t="n">
        <f aca="false">IF($A13="",0,SUMIFS(Trades!$I$4:$I$40,Trades!$D$4:$D$40,J$3,Trades!$B$4:$B$40,"&lt;="&amp;$A13))</f>
        <v>0</v>
      </c>
      <c r="V13" s="18" t="n">
        <f aca="false">IF($A13="",0,SUMIFS(Trades!$I$4:$I$40,Trades!$D$4:$D$40,K$3,Trades!$B$4:$B$40,"&lt;="&amp;$A13))</f>
        <v>0</v>
      </c>
      <c r="W13" s="14" t="n">
        <f aca="false">IF($A13="",0,Settings!$B$4+SUMIFS(CashEvents!$E$4:$E$30,CashEvents!$A$4:$A$30,"&lt;="&amp;$A13)+SUMIFS(Trades!$J$4:$J$40,Trades!$B$4:$B$40,"&lt;="&amp;$A13))</f>
        <v>0</v>
      </c>
      <c r="X13" s="14" t="str">
        <f aca="false">IF($A13="","",SUMPRODUCT($B13:$K13,$M13:$V13)+$W13)</f>
        <v/>
      </c>
      <c r="Y13" s="14" t="str">
        <f aca="false">IF(OR($A13="",$A12=""),"",SUMIFS(CashEvents!$E$4:$E$30,CashEvents!$A$4:$A$30,"&gt;"&amp;$A12,CashEvents!$A$4:$A$30,"&lt;="&amp;$A13))</f>
        <v/>
      </c>
      <c r="Z13" s="15" t="str">
        <f aca="false">IF(OR($A13="",$A12=""),"",($X13-$Y13)/$X12-1)</f>
        <v/>
      </c>
      <c r="AA13" s="15" t="str">
        <f aca="false">IF(OR($A13="",$L13="",$L12=""),"",$L13/$L12-1)</f>
        <v/>
      </c>
      <c r="AB13" s="23" t="str">
        <f aca="false">IF($A13="","",$AB12*(1+$Z13))</f>
        <v/>
      </c>
      <c r="AC13" s="23" t="str">
        <f aca="false">IF($A13="","",MAX($AB$4:$AB13))</f>
        <v/>
      </c>
      <c r="AD13" s="15" t="str">
        <f aca="false">IF($A13="","",$AB13/$AC13-1)</f>
        <v/>
      </c>
      <c r="AE13" s="23" t="str">
        <f aca="false">IF($A13="","",$AE12*(1+$AA13))</f>
        <v/>
      </c>
    </row>
    <row r="14" customFormat="false" ht="15" hidden="false" customHeight="false" outlineLevel="0" collapsed="false">
      <c r="M14" s="18" t="n">
        <f aca="false">IF($A14="",0,SUMIFS(Trades!$I$4:$I$40,Trades!$D$4:$D$40,B$3,Trades!$B$4:$B$40,"&lt;="&amp;$A14))</f>
        <v>0</v>
      </c>
      <c r="N14" s="18" t="n">
        <f aca="false">IF($A14="",0,SUMIFS(Trades!$I$4:$I$40,Trades!$D$4:$D$40,C$3,Trades!$B$4:$B$40,"&lt;="&amp;$A14))</f>
        <v>0</v>
      </c>
      <c r="O14" s="18" t="n">
        <f aca="false">IF($A14="",0,SUMIFS(Trades!$I$4:$I$40,Trades!$D$4:$D$40,D$3,Trades!$B$4:$B$40,"&lt;="&amp;$A14))</f>
        <v>0</v>
      </c>
      <c r="P14" s="18" t="n">
        <f aca="false">IF($A14="",0,SUMIFS(Trades!$I$4:$I$40,Trades!$D$4:$D$40,E$3,Trades!$B$4:$B$40,"&lt;="&amp;$A14))</f>
        <v>0</v>
      </c>
      <c r="Q14" s="18" t="n">
        <f aca="false">IF($A14="",0,SUMIFS(Trades!$I$4:$I$40,Trades!$D$4:$D$40,F$3,Trades!$B$4:$B$40,"&lt;="&amp;$A14))</f>
        <v>0</v>
      </c>
      <c r="R14" s="18" t="n">
        <f aca="false">IF($A14="",0,SUMIFS(Trades!$I$4:$I$40,Trades!$D$4:$D$40,G$3,Trades!$B$4:$B$40,"&lt;="&amp;$A14))</f>
        <v>0</v>
      </c>
      <c r="S14" s="18" t="n">
        <f aca="false">IF($A14="",0,SUMIFS(Trades!$I$4:$I$40,Trades!$D$4:$D$40,H$3,Trades!$B$4:$B$40,"&lt;="&amp;$A14))</f>
        <v>0</v>
      </c>
      <c r="T14" s="18" t="n">
        <f aca="false">IF($A14="",0,SUMIFS(Trades!$I$4:$I$40,Trades!$D$4:$D$40,I$3,Trades!$B$4:$B$40,"&lt;="&amp;$A14))</f>
        <v>0</v>
      </c>
      <c r="U14" s="18" t="n">
        <f aca="false">IF($A14="",0,SUMIFS(Trades!$I$4:$I$40,Trades!$D$4:$D$40,J$3,Trades!$B$4:$B$40,"&lt;="&amp;$A14))</f>
        <v>0</v>
      </c>
      <c r="V14" s="18" t="n">
        <f aca="false">IF($A14="",0,SUMIFS(Trades!$I$4:$I$40,Trades!$D$4:$D$40,K$3,Trades!$B$4:$B$40,"&lt;="&amp;$A14))</f>
        <v>0</v>
      </c>
      <c r="W14" s="14" t="n">
        <f aca="false">IF($A14="",0,Settings!$B$4+SUMIFS(CashEvents!$E$4:$E$30,CashEvents!$A$4:$A$30,"&lt;="&amp;$A14)+SUMIFS(Trades!$J$4:$J$40,Trades!$B$4:$B$40,"&lt;="&amp;$A14))</f>
        <v>0</v>
      </c>
      <c r="X14" s="14" t="str">
        <f aca="false">IF($A14="","",SUMPRODUCT($B14:$K14,$M14:$V14)+$W14)</f>
        <v/>
      </c>
      <c r="Y14" s="14" t="str">
        <f aca="false">IF(OR($A14="",$A13=""),"",SUMIFS(CashEvents!$E$4:$E$30,CashEvents!$A$4:$A$30,"&gt;"&amp;$A13,CashEvents!$A$4:$A$30,"&lt;="&amp;$A14))</f>
        <v/>
      </c>
      <c r="Z14" s="15" t="str">
        <f aca="false">IF(OR($A14="",$A13=""),"",($X14-$Y14)/$X13-1)</f>
        <v/>
      </c>
      <c r="AA14" s="15" t="str">
        <f aca="false">IF(OR($A14="",$L14="",$L13=""),"",$L14/$L13-1)</f>
        <v/>
      </c>
      <c r="AB14" s="23" t="str">
        <f aca="false">IF($A14="","",$AB13*(1+$Z14))</f>
        <v/>
      </c>
      <c r="AC14" s="23" t="str">
        <f aca="false">IF($A14="","",MAX($AB$4:$AB14))</f>
        <v/>
      </c>
      <c r="AD14" s="15" t="str">
        <f aca="false">IF($A14="","",$AB14/$AC14-1)</f>
        <v/>
      </c>
      <c r="AE14" s="23" t="str">
        <f aca="false">IF($A14="","",$AE13*(1+$AA14))</f>
        <v/>
      </c>
    </row>
    <row r="15" customFormat="false" ht="15" hidden="false" customHeight="false" outlineLevel="0" collapsed="false">
      <c r="M15" s="18" t="n">
        <f aca="false">IF($A15="",0,SUMIFS(Trades!$I$4:$I$40,Trades!$D$4:$D$40,B$3,Trades!$B$4:$B$40,"&lt;="&amp;$A15))</f>
        <v>0</v>
      </c>
      <c r="N15" s="18" t="n">
        <f aca="false">IF($A15="",0,SUMIFS(Trades!$I$4:$I$40,Trades!$D$4:$D$40,C$3,Trades!$B$4:$B$40,"&lt;="&amp;$A15))</f>
        <v>0</v>
      </c>
      <c r="O15" s="18" t="n">
        <f aca="false">IF($A15="",0,SUMIFS(Trades!$I$4:$I$40,Trades!$D$4:$D$40,D$3,Trades!$B$4:$B$40,"&lt;="&amp;$A15))</f>
        <v>0</v>
      </c>
      <c r="P15" s="18" t="n">
        <f aca="false">IF($A15="",0,SUMIFS(Trades!$I$4:$I$40,Trades!$D$4:$D$40,E$3,Trades!$B$4:$B$40,"&lt;="&amp;$A15))</f>
        <v>0</v>
      </c>
      <c r="Q15" s="18" t="n">
        <f aca="false">IF($A15="",0,SUMIFS(Trades!$I$4:$I$40,Trades!$D$4:$D$40,F$3,Trades!$B$4:$B$40,"&lt;="&amp;$A15))</f>
        <v>0</v>
      </c>
      <c r="R15" s="18" t="n">
        <f aca="false">IF($A15="",0,SUMIFS(Trades!$I$4:$I$40,Trades!$D$4:$D$40,G$3,Trades!$B$4:$B$40,"&lt;="&amp;$A15))</f>
        <v>0</v>
      </c>
      <c r="S15" s="18" t="n">
        <f aca="false">IF($A15="",0,SUMIFS(Trades!$I$4:$I$40,Trades!$D$4:$D$40,H$3,Trades!$B$4:$B$40,"&lt;="&amp;$A15))</f>
        <v>0</v>
      </c>
      <c r="T15" s="18" t="n">
        <f aca="false">IF($A15="",0,SUMIFS(Trades!$I$4:$I$40,Trades!$D$4:$D$40,I$3,Trades!$B$4:$B$40,"&lt;="&amp;$A15))</f>
        <v>0</v>
      </c>
      <c r="U15" s="18" t="n">
        <f aca="false">IF($A15="",0,SUMIFS(Trades!$I$4:$I$40,Trades!$D$4:$D$40,J$3,Trades!$B$4:$B$40,"&lt;="&amp;$A15))</f>
        <v>0</v>
      </c>
      <c r="V15" s="18" t="n">
        <f aca="false">IF($A15="",0,SUMIFS(Trades!$I$4:$I$40,Trades!$D$4:$D$40,K$3,Trades!$B$4:$B$40,"&lt;="&amp;$A15))</f>
        <v>0</v>
      </c>
      <c r="W15" s="14" t="n">
        <f aca="false">IF($A15="",0,Settings!$B$4+SUMIFS(CashEvents!$E$4:$E$30,CashEvents!$A$4:$A$30,"&lt;="&amp;$A15)+SUMIFS(Trades!$J$4:$J$40,Trades!$B$4:$B$40,"&lt;="&amp;$A15))</f>
        <v>0</v>
      </c>
      <c r="X15" s="14" t="str">
        <f aca="false">IF($A15="","",SUMPRODUCT($B15:$K15,$M15:$V15)+$W15)</f>
        <v/>
      </c>
      <c r="Y15" s="14" t="str">
        <f aca="false">IF(OR($A15="",$A14=""),"",SUMIFS(CashEvents!$E$4:$E$30,CashEvents!$A$4:$A$30,"&gt;"&amp;$A14,CashEvents!$A$4:$A$30,"&lt;="&amp;$A15))</f>
        <v/>
      </c>
      <c r="Z15" s="15" t="str">
        <f aca="false">IF(OR($A15="",$A14=""),"",($X15-$Y15)/$X14-1)</f>
        <v/>
      </c>
      <c r="AA15" s="15" t="str">
        <f aca="false">IF(OR($A15="",$L15="",$L14=""),"",$L15/$L14-1)</f>
        <v/>
      </c>
      <c r="AB15" s="23" t="str">
        <f aca="false">IF($A15="","",$AB14*(1+$Z15))</f>
        <v/>
      </c>
      <c r="AC15" s="23" t="str">
        <f aca="false">IF($A15="","",MAX($AB$4:$AB15))</f>
        <v/>
      </c>
      <c r="AD15" s="15" t="str">
        <f aca="false">IF($A15="","",$AB15/$AC15-1)</f>
        <v/>
      </c>
      <c r="AE15" s="23" t="str">
        <f aca="false">IF($A15="","",$AE14*(1+$AA15))</f>
        <v/>
      </c>
    </row>
    <row r="16" customFormat="false" ht="15" hidden="false" customHeight="false" outlineLevel="0" collapsed="false">
      <c r="M16" s="18" t="n">
        <f aca="false">IF($A16="",0,SUMIFS(Trades!$I$4:$I$40,Trades!$D$4:$D$40,B$3,Trades!$B$4:$B$40,"&lt;="&amp;$A16))</f>
        <v>0</v>
      </c>
      <c r="N16" s="18" t="n">
        <f aca="false">IF($A16="",0,SUMIFS(Trades!$I$4:$I$40,Trades!$D$4:$D$40,C$3,Trades!$B$4:$B$40,"&lt;="&amp;$A16))</f>
        <v>0</v>
      </c>
      <c r="O16" s="18" t="n">
        <f aca="false">IF($A16="",0,SUMIFS(Trades!$I$4:$I$40,Trades!$D$4:$D$40,D$3,Trades!$B$4:$B$40,"&lt;="&amp;$A16))</f>
        <v>0</v>
      </c>
      <c r="P16" s="18" t="n">
        <f aca="false">IF($A16="",0,SUMIFS(Trades!$I$4:$I$40,Trades!$D$4:$D$40,E$3,Trades!$B$4:$B$40,"&lt;="&amp;$A16))</f>
        <v>0</v>
      </c>
      <c r="Q16" s="18" t="n">
        <f aca="false">IF($A16="",0,SUMIFS(Trades!$I$4:$I$40,Trades!$D$4:$D$40,F$3,Trades!$B$4:$B$40,"&lt;="&amp;$A16))</f>
        <v>0</v>
      </c>
      <c r="R16" s="18" t="n">
        <f aca="false">IF($A16="",0,SUMIFS(Trades!$I$4:$I$40,Trades!$D$4:$D$40,G$3,Trades!$B$4:$B$40,"&lt;="&amp;$A16))</f>
        <v>0</v>
      </c>
      <c r="S16" s="18" t="n">
        <f aca="false">IF($A16="",0,SUMIFS(Trades!$I$4:$I$40,Trades!$D$4:$D$40,H$3,Trades!$B$4:$B$40,"&lt;="&amp;$A16))</f>
        <v>0</v>
      </c>
      <c r="T16" s="18" t="n">
        <f aca="false">IF($A16="",0,SUMIFS(Trades!$I$4:$I$40,Trades!$D$4:$D$40,I$3,Trades!$B$4:$B$40,"&lt;="&amp;$A16))</f>
        <v>0</v>
      </c>
      <c r="U16" s="18" t="n">
        <f aca="false">IF($A16="",0,SUMIFS(Trades!$I$4:$I$40,Trades!$D$4:$D$40,J$3,Trades!$B$4:$B$40,"&lt;="&amp;$A16))</f>
        <v>0</v>
      </c>
      <c r="V16" s="18" t="n">
        <f aca="false">IF($A16="",0,SUMIFS(Trades!$I$4:$I$40,Trades!$D$4:$D$40,K$3,Trades!$B$4:$B$40,"&lt;="&amp;$A16))</f>
        <v>0</v>
      </c>
      <c r="W16" s="14" t="n">
        <f aca="false">IF($A16="",0,Settings!$B$4+SUMIFS(CashEvents!$E$4:$E$30,CashEvents!$A$4:$A$30,"&lt;="&amp;$A16)+SUMIFS(Trades!$J$4:$J$40,Trades!$B$4:$B$40,"&lt;="&amp;$A16))</f>
        <v>0</v>
      </c>
      <c r="X16" s="14" t="str">
        <f aca="false">IF($A16="","",SUMPRODUCT($B16:$K16,$M16:$V16)+$W16)</f>
        <v/>
      </c>
      <c r="Y16" s="14" t="str">
        <f aca="false">IF(OR($A16="",$A15=""),"",SUMIFS(CashEvents!$E$4:$E$30,CashEvents!$A$4:$A$30,"&gt;"&amp;$A15,CashEvents!$A$4:$A$30,"&lt;="&amp;$A16))</f>
        <v/>
      </c>
      <c r="Z16" s="15" t="str">
        <f aca="false">IF(OR($A16="",$A15=""),"",($X16-$Y16)/$X15-1)</f>
        <v/>
      </c>
      <c r="AA16" s="15" t="str">
        <f aca="false">IF(OR($A16="",$L16="",$L15=""),"",$L16/$L15-1)</f>
        <v/>
      </c>
      <c r="AB16" s="23" t="str">
        <f aca="false">IF($A16="","",$AB15*(1+$Z16))</f>
        <v/>
      </c>
      <c r="AC16" s="23" t="str">
        <f aca="false">IF($A16="","",MAX($AB$4:$AB16))</f>
        <v/>
      </c>
      <c r="AD16" s="15" t="str">
        <f aca="false">IF($A16="","",$AB16/$AC16-1)</f>
        <v/>
      </c>
      <c r="AE16" s="23" t="str">
        <f aca="false">IF($A16="","",$AE15*(1+$AA16))</f>
        <v/>
      </c>
    </row>
    <row r="17" customFormat="false" ht="15" hidden="false" customHeight="false" outlineLevel="0" collapsed="false">
      <c r="M17" s="18" t="n">
        <f aca="false">IF($A17="",0,SUMIFS(Trades!$I$4:$I$40,Trades!$D$4:$D$40,B$3,Trades!$B$4:$B$40,"&lt;="&amp;$A17))</f>
        <v>0</v>
      </c>
      <c r="N17" s="18" t="n">
        <f aca="false">IF($A17="",0,SUMIFS(Trades!$I$4:$I$40,Trades!$D$4:$D$40,C$3,Trades!$B$4:$B$40,"&lt;="&amp;$A17))</f>
        <v>0</v>
      </c>
      <c r="O17" s="18" t="n">
        <f aca="false">IF($A17="",0,SUMIFS(Trades!$I$4:$I$40,Trades!$D$4:$D$40,D$3,Trades!$B$4:$B$40,"&lt;="&amp;$A17))</f>
        <v>0</v>
      </c>
      <c r="P17" s="18" t="n">
        <f aca="false">IF($A17="",0,SUMIFS(Trades!$I$4:$I$40,Trades!$D$4:$D$40,E$3,Trades!$B$4:$B$40,"&lt;="&amp;$A17))</f>
        <v>0</v>
      </c>
      <c r="Q17" s="18" t="n">
        <f aca="false">IF($A17="",0,SUMIFS(Trades!$I$4:$I$40,Trades!$D$4:$D$40,F$3,Trades!$B$4:$B$40,"&lt;="&amp;$A17))</f>
        <v>0</v>
      </c>
      <c r="R17" s="18" t="n">
        <f aca="false">IF($A17="",0,SUMIFS(Trades!$I$4:$I$40,Trades!$D$4:$D$40,G$3,Trades!$B$4:$B$40,"&lt;="&amp;$A17))</f>
        <v>0</v>
      </c>
      <c r="S17" s="18" t="n">
        <f aca="false">IF($A17="",0,SUMIFS(Trades!$I$4:$I$40,Trades!$D$4:$D$40,H$3,Trades!$B$4:$B$40,"&lt;="&amp;$A17))</f>
        <v>0</v>
      </c>
      <c r="T17" s="18" t="n">
        <f aca="false">IF($A17="",0,SUMIFS(Trades!$I$4:$I$40,Trades!$D$4:$D$40,I$3,Trades!$B$4:$B$40,"&lt;="&amp;$A17))</f>
        <v>0</v>
      </c>
      <c r="U17" s="18" t="n">
        <f aca="false">IF($A17="",0,SUMIFS(Trades!$I$4:$I$40,Trades!$D$4:$D$40,J$3,Trades!$B$4:$B$40,"&lt;="&amp;$A17))</f>
        <v>0</v>
      </c>
      <c r="V17" s="18" t="n">
        <f aca="false">IF($A17="",0,SUMIFS(Trades!$I$4:$I$40,Trades!$D$4:$D$40,K$3,Trades!$B$4:$B$40,"&lt;="&amp;$A17))</f>
        <v>0</v>
      </c>
      <c r="W17" s="14" t="n">
        <f aca="false">IF($A17="",0,Settings!$B$4+SUMIFS(CashEvents!$E$4:$E$30,CashEvents!$A$4:$A$30,"&lt;="&amp;$A17)+SUMIFS(Trades!$J$4:$J$40,Trades!$B$4:$B$40,"&lt;="&amp;$A17))</f>
        <v>0</v>
      </c>
      <c r="X17" s="14" t="str">
        <f aca="false">IF($A17="","",SUMPRODUCT($B17:$K17,$M17:$V17)+$W17)</f>
        <v/>
      </c>
      <c r="Y17" s="14" t="str">
        <f aca="false">IF(OR($A17="",$A16=""),"",SUMIFS(CashEvents!$E$4:$E$30,CashEvents!$A$4:$A$30,"&gt;"&amp;$A16,CashEvents!$A$4:$A$30,"&lt;="&amp;$A17))</f>
        <v/>
      </c>
      <c r="Z17" s="15" t="str">
        <f aca="false">IF(OR($A17="",$A16=""),"",($X17-$Y17)/$X16-1)</f>
        <v/>
      </c>
      <c r="AA17" s="15" t="str">
        <f aca="false">IF(OR($A17="",$L17="",$L16=""),"",$L17/$L16-1)</f>
        <v/>
      </c>
      <c r="AB17" s="23" t="str">
        <f aca="false">IF($A17="","",$AB16*(1+$Z17))</f>
        <v/>
      </c>
      <c r="AC17" s="23" t="str">
        <f aca="false">IF($A17="","",MAX($AB$4:$AB17))</f>
        <v/>
      </c>
      <c r="AD17" s="15" t="str">
        <f aca="false">IF($A17="","",$AB17/$AC17-1)</f>
        <v/>
      </c>
      <c r="AE17" s="23" t="str">
        <f aca="false">IF($A17="","",$AE16*(1+$AA17))</f>
        <v/>
      </c>
    </row>
    <row r="18" customFormat="false" ht="15" hidden="false" customHeight="false" outlineLevel="0" collapsed="false">
      <c r="M18" s="18" t="n">
        <f aca="false">IF($A18="",0,SUMIFS(Trades!$I$4:$I$40,Trades!$D$4:$D$40,B$3,Trades!$B$4:$B$40,"&lt;="&amp;$A18))</f>
        <v>0</v>
      </c>
      <c r="N18" s="18" t="n">
        <f aca="false">IF($A18="",0,SUMIFS(Trades!$I$4:$I$40,Trades!$D$4:$D$40,C$3,Trades!$B$4:$B$40,"&lt;="&amp;$A18))</f>
        <v>0</v>
      </c>
      <c r="O18" s="18" t="n">
        <f aca="false">IF($A18="",0,SUMIFS(Trades!$I$4:$I$40,Trades!$D$4:$D$40,D$3,Trades!$B$4:$B$40,"&lt;="&amp;$A18))</f>
        <v>0</v>
      </c>
      <c r="P18" s="18" t="n">
        <f aca="false">IF($A18="",0,SUMIFS(Trades!$I$4:$I$40,Trades!$D$4:$D$40,E$3,Trades!$B$4:$B$40,"&lt;="&amp;$A18))</f>
        <v>0</v>
      </c>
      <c r="Q18" s="18" t="n">
        <f aca="false">IF($A18="",0,SUMIFS(Trades!$I$4:$I$40,Trades!$D$4:$D$40,F$3,Trades!$B$4:$B$40,"&lt;="&amp;$A18))</f>
        <v>0</v>
      </c>
      <c r="R18" s="18" t="n">
        <f aca="false">IF($A18="",0,SUMIFS(Trades!$I$4:$I$40,Trades!$D$4:$D$40,G$3,Trades!$B$4:$B$40,"&lt;="&amp;$A18))</f>
        <v>0</v>
      </c>
      <c r="S18" s="18" t="n">
        <f aca="false">IF($A18="",0,SUMIFS(Trades!$I$4:$I$40,Trades!$D$4:$D$40,H$3,Trades!$B$4:$B$40,"&lt;="&amp;$A18))</f>
        <v>0</v>
      </c>
      <c r="T18" s="18" t="n">
        <f aca="false">IF($A18="",0,SUMIFS(Trades!$I$4:$I$40,Trades!$D$4:$D$40,I$3,Trades!$B$4:$B$40,"&lt;="&amp;$A18))</f>
        <v>0</v>
      </c>
      <c r="U18" s="18" t="n">
        <f aca="false">IF($A18="",0,SUMIFS(Trades!$I$4:$I$40,Trades!$D$4:$D$40,J$3,Trades!$B$4:$B$40,"&lt;="&amp;$A18))</f>
        <v>0</v>
      </c>
      <c r="V18" s="18" t="n">
        <f aca="false">IF($A18="",0,SUMIFS(Trades!$I$4:$I$40,Trades!$D$4:$D$40,K$3,Trades!$B$4:$B$40,"&lt;="&amp;$A18))</f>
        <v>0</v>
      </c>
      <c r="W18" s="14" t="n">
        <f aca="false">IF($A18="",0,Settings!$B$4+SUMIFS(CashEvents!$E$4:$E$30,CashEvents!$A$4:$A$30,"&lt;="&amp;$A18)+SUMIFS(Trades!$J$4:$J$40,Trades!$B$4:$B$40,"&lt;="&amp;$A18))</f>
        <v>0</v>
      </c>
      <c r="X18" s="14" t="str">
        <f aca="false">IF($A18="","",SUMPRODUCT($B18:$K18,$M18:$V18)+$W18)</f>
        <v/>
      </c>
      <c r="Y18" s="14" t="str">
        <f aca="false">IF(OR($A18="",$A17=""),"",SUMIFS(CashEvents!$E$4:$E$30,CashEvents!$A$4:$A$30,"&gt;"&amp;$A17,CashEvents!$A$4:$A$30,"&lt;="&amp;$A18))</f>
        <v/>
      </c>
      <c r="Z18" s="15" t="str">
        <f aca="false">IF(OR($A18="",$A17=""),"",($X18-$Y18)/$X17-1)</f>
        <v/>
      </c>
      <c r="AA18" s="15" t="str">
        <f aca="false">IF(OR($A18="",$L18="",$L17=""),"",$L18/$L17-1)</f>
        <v/>
      </c>
      <c r="AB18" s="23" t="str">
        <f aca="false">IF($A18="","",$AB17*(1+$Z18))</f>
        <v/>
      </c>
      <c r="AC18" s="23" t="str">
        <f aca="false">IF($A18="","",MAX($AB$4:$AB18))</f>
        <v/>
      </c>
      <c r="AD18" s="15" t="str">
        <f aca="false">IF($A18="","",$AB18/$AC18-1)</f>
        <v/>
      </c>
      <c r="AE18" s="23" t="str">
        <f aca="false">IF($A18="","",$AE17*(1+$AA18))</f>
        <v/>
      </c>
    </row>
    <row r="19" customFormat="false" ht="15" hidden="false" customHeight="false" outlineLevel="0" collapsed="false">
      <c r="M19" s="18" t="n">
        <f aca="false">IF($A19="",0,SUMIFS(Trades!$I$4:$I$40,Trades!$D$4:$D$40,B$3,Trades!$B$4:$B$40,"&lt;="&amp;$A19))</f>
        <v>0</v>
      </c>
      <c r="N19" s="18" t="n">
        <f aca="false">IF($A19="",0,SUMIFS(Trades!$I$4:$I$40,Trades!$D$4:$D$40,C$3,Trades!$B$4:$B$40,"&lt;="&amp;$A19))</f>
        <v>0</v>
      </c>
      <c r="O19" s="18" t="n">
        <f aca="false">IF($A19="",0,SUMIFS(Trades!$I$4:$I$40,Trades!$D$4:$D$40,D$3,Trades!$B$4:$B$40,"&lt;="&amp;$A19))</f>
        <v>0</v>
      </c>
      <c r="P19" s="18" t="n">
        <f aca="false">IF($A19="",0,SUMIFS(Trades!$I$4:$I$40,Trades!$D$4:$D$40,E$3,Trades!$B$4:$B$40,"&lt;="&amp;$A19))</f>
        <v>0</v>
      </c>
      <c r="Q19" s="18" t="n">
        <f aca="false">IF($A19="",0,SUMIFS(Trades!$I$4:$I$40,Trades!$D$4:$D$40,F$3,Trades!$B$4:$B$40,"&lt;="&amp;$A19))</f>
        <v>0</v>
      </c>
      <c r="R19" s="18" t="n">
        <f aca="false">IF($A19="",0,SUMIFS(Trades!$I$4:$I$40,Trades!$D$4:$D$40,G$3,Trades!$B$4:$B$40,"&lt;="&amp;$A19))</f>
        <v>0</v>
      </c>
      <c r="S19" s="18" t="n">
        <f aca="false">IF($A19="",0,SUMIFS(Trades!$I$4:$I$40,Trades!$D$4:$D$40,H$3,Trades!$B$4:$B$40,"&lt;="&amp;$A19))</f>
        <v>0</v>
      </c>
      <c r="T19" s="18" t="n">
        <f aca="false">IF($A19="",0,SUMIFS(Trades!$I$4:$I$40,Trades!$D$4:$D$40,I$3,Trades!$B$4:$B$40,"&lt;="&amp;$A19))</f>
        <v>0</v>
      </c>
      <c r="U19" s="18" t="n">
        <f aca="false">IF($A19="",0,SUMIFS(Trades!$I$4:$I$40,Trades!$D$4:$D$40,J$3,Trades!$B$4:$B$40,"&lt;="&amp;$A19))</f>
        <v>0</v>
      </c>
      <c r="V19" s="18" t="n">
        <f aca="false">IF($A19="",0,SUMIFS(Trades!$I$4:$I$40,Trades!$D$4:$D$40,K$3,Trades!$B$4:$B$40,"&lt;="&amp;$A19))</f>
        <v>0</v>
      </c>
      <c r="W19" s="14" t="n">
        <f aca="false">IF($A19="",0,Settings!$B$4+SUMIFS(CashEvents!$E$4:$E$30,CashEvents!$A$4:$A$30,"&lt;="&amp;$A19)+SUMIFS(Trades!$J$4:$J$40,Trades!$B$4:$B$40,"&lt;="&amp;$A19))</f>
        <v>0</v>
      </c>
      <c r="X19" s="14" t="str">
        <f aca="false">IF($A19="","",SUMPRODUCT($B19:$K19,$M19:$V19)+$W19)</f>
        <v/>
      </c>
      <c r="Y19" s="14" t="str">
        <f aca="false">IF(OR($A19="",$A18=""),"",SUMIFS(CashEvents!$E$4:$E$30,CashEvents!$A$4:$A$30,"&gt;"&amp;$A18,CashEvents!$A$4:$A$30,"&lt;="&amp;$A19))</f>
        <v/>
      </c>
      <c r="Z19" s="15" t="str">
        <f aca="false">IF(OR($A19="",$A18=""),"",($X19-$Y19)/$X18-1)</f>
        <v/>
      </c>
      <c r="AA19" s="15" t="str">
        <f aca="false">IF(OR($A19="",$L19="",$L18=""),"",$L19/$L18-1)</f>
        <v/>
      </c>
      <c r="AB19" s="23" t="str">
        <f aca="false">IF($A19="","",$AB18*(1+$Z19))</f>
        <v/>
      </c>
      <c r="AC19" s="23" t="str">
        <f aca="false">IF($A19="","",MAX($AB$4:$AB19))</f>
        <v/>
      </c>
      <c r="AD19" s="15" t="str">
        <f aca="false">IF($A19="","",$AB19/$AC19-1)</f>
        <v/>
      </c>
      <c r="AE19" s="23" t="str">
        <f aca="false">IF($A19="","",$AE18*(1+$AA19))</f>
        <v/>
      </c>
    </row>
    <row r="20" customFormat="false" ht="15" hidden="false" customHeight="false" outlineLevel="0" collapsed="false">
      <c r="M20" s="18" t="n">
        <f aca="false">IF($A20="",0,SUMIFS(Trades!$I$4:$I$40,Trades!$D$4:$D$40,B$3,Trades!$B$4:$B$40,"&lt;="&amp;$A20))</f>
        <v>0</v>
      </c>
      <c r="N20" s="18" t="n">
        <f aca="false">IF($A20="",0,SUMIFS(Trades!$I$4:$I$40,Trades!$D$4:$D$40,C$3,Trades!$B$4:$B$40,"&lt;="&amp;$A20))</f>
        <v>0</v>
      </c>
      <c r="O20" s="18" t="n">
        <f aca="false">IF($A20="",0,SUMIFS(Trades!$I$4:$I$40,Trades!$D$4:$D$40,D$3,Trades!$B$4:$B$40,"&lt;="&amp;$A20))</f>
        <v>0</v>
      </c>
      <c r="P20" s="18" t="n">
        <f aca="false">IF($A20="",0,SUMIFS(Trades!$I$4:$I$40,Trades!$D$4:$D$40,E$3,Trades!$B$4:$B$40,"&lt;="&amp;$A20))</f>
        <v>0</v>
      </c>
      <c r="Q20" s="18" t="n">
        <f aca="false">IF($A20="",0,SUMIFS(Trades!$I$4:$I$40,Trades!$D$4:$D$40,F$3,Trades!$B$4:$B$40,"&lt;="&amp;$A20))</f>
        <v>0</v>
      </c>
      <c r="R20" s="18" t="n">
        <f aca="false">IF($A20="",0,SUMIFS(Trades!$I$4:$I$40,Trades!$D$4:$D$40,G$3,Trades!$B$4:$B$40,"&lt;="&amp;$A20))</f>
        <v>0</v>
      </c>
      <c r="S20" s="18" t="n">
        <f aca="false">IF($A20="",0,SUMIFS(Trades!$I$4:$I$40,Trades!$D$4:$D$40,H$3,Trades!$B$4:$B$40,"&lt;="&amp;$A20))</f>
        <v>0</v>
      </c>
      <c r="T20" s="18" t="n">
        <f aca="false">IF($A20="",0,SUMIFS(Trades!$I$4:$I$40,Trades!$D$4:$D$40,I$3,Trades!$B$4:$B$40,"&lt;="&amp;$A20))</f>
        <v>0</v>
      </c>
      <c r="U20" s="18" t="n">
        <f aca="false">IF($A20="",0,SUMIFS(Trades!$I$4:$I$40,Trades!$D$4:$D$40,J$3,Trades!$B$4:$B$40,"&lt;="&amp;$A20))</f>
        <v>0</v>
      </c>
      <c r="V20" s="18" t="n">
        <f aca="false">IF($A20="",0,SUMIFS(Trades!$I$4:$I$40,Trades!$D$4:$D$40,K$3,Trades!$B$4:$B$40,"&lt;="&amp;$A20))</f>
        <v>0</v>
      </c>
      <c r="W20" s="14" t="n">
        <f aca="false">IF($A20="",0,Settings!$B$4+SUMIFS(CashEvents!$E$4:$E$30,CashEvents!$A$4:$A$30,"&lt;="&amp;$A20)+SUMIFS(Trades!$J$4:$J$40,Trades!$B$4:$B$40,"&lt;="&amp;$A20))</f>
        <v>0</v>
      </c>
      <c r="X20" s="14" t="str">
        <f aca="false">IF($A20="","",SUMPRODUCT($B20:$K20,$M20:$V20)+$W20)</f>
        <v/>
      </c>
      <c r="Y20" s="14" t="str">
        <f aca="false">IF(OR($A20="",$A19=""),"",SUMIFS(CashEvents!$E$4:$E$30,CashEvents!$A$4:$A$30,"&gt;"&amp;$A19,CashEvents!$A$4:$A$30,"&lt;="&amp;$A20))</f>
        <v/>
      </c>
      <c r="Z20" s="15" t="str">
        <f aca="false">IF(OR($A20="",$A19=""),"",($X20-$Y20)/$X19-1)</f>
        <v/>
      </c>
      <c r="AA20" s="15" t="str">
        <f aca="false">IF(OR($A20="",$L20="",$L19=""),"",$L20/$L19-1)</f>
        <v/>
      </c>
      <c r="AB20" s="23" t="str">
        <f aca="false">IF($A20="","",$AB19*(1+$Z20))</f>
        <v/>
      </c>
      <c r="AC20" s="23" t="str">
        <f aca="false">IF($A20="","",MAX($AB$4:$AB20))</f>
        <v/>
      </c>
      <c r="AD20" s="15" t="str">
        <f aca="false">IF($A20="","",$AB20/$AC20-1)</f>
        <v/>
      </c>
      <c r="AE20" s="23" t="str">
        <f aca="false">IF($A20="","",$AE19*(1+$AA20))</f>
        <v/>
      </c>
    </row>
    <row r="21" customFormat="false" ht="15" hidden="false" customHeight="false" outlineLevel="0" collapsed="false">
      <c r="M21" s="18" t="n">
        <f aca="false">IF($A21="",0,SUMIFS(Trades!$I$4:$I$40,Trades!$D$4:$D$40,B$3,Trades!$B$4:$B$40,"&lt;="&amp;$A21))</f>
        <v>0</v>
      </c>
      <c r="N21" s="18" t="n">
        <f aca="false">IF($A21="",0,SUMIFS(Trades!$I$4:$I$40,Trades!$D$4:$D$40,C$3,Trades!$B$4:$B$40,"&lt;="&amp;$A21))</f>
        <v>0</v>
      </c>
      <c r="O21" s="18" t="n">
        <f aca="false">IF($A21="",0,SUMIFS(Trades!$I$4:$I$40,Trades!$D$4:$D$40,D$3,Trades!$B$4:$B$40,"&lt;="&amp;$A21))</f>
        <v>0</v>
      </c>
      <c r="P21" s="18" t="n">
        <f aca="false">IF($A21="",0,SUMIFS(Trades!$I$4:$I$40,Trades!$D$4:$D$40,E$3,Trades!$B$4:$B$40,"&lt;="&amp;$A21))</f>
        <v>0</v>
      </c>
      <c r="Q21" s="18" t="n">
        <f aca="false">IF($A21="",0,SUMIFS(Trades!$I$4:$I$40,Trades!$D$4:$D$40,F$3,Trades!$B$4:$B$40,"&lt;="&amp;$A21))</f>
        <v>0</v>
      </c>
      <c r="R21" s="18" t="n">
        <f aca="false">IF($A21="",0,SUMIFS(Trades!$I$4:$I$40,Trades!$D$4:$D$40,G$3,Trades!$B$4:$B$40,"&lt;="&amp;$A21))</f>
        <v>0</v>
      </c>
      <c r="S21" s="18" t="n">
        <f aca="false">IF($A21="",0,SUMIFS(Trades!$I$4:$I$40,Trades!$D$4:$D$40,H$3,Trades!$B$4:$B$40,"&lt;="&amp;$A21))</f>
        <v>0</v>
      </c>
      <c r="T21" s="18" t="n">
        <f aca="false">IF($A21="",0,SUMIFS(Trades!$I$4:$I$40,Trades!$D$4:$D$40,I$3,Trades!$B$4:$B$40,"&lt;="&amp;$A21))</f>
        <v>0</v>
      </c>
      <c r="U21" s="18" t="n">
        <f aca="false">IF($A21="",0,SUMIFS(Trades!$I$4:$I$40,Trades!$D$4:$D$40,J$3,Trades!$B$4:$B$40,"&lt;="&amp;$A21))</f>
        <v>0</v>
      </c>
      <c r="V21" s="18" t="n">
        <f aca="false">IF($A21="",0,SUMIFS(Trades!$I$4:$I$40,Trades!$D$4:$D$40,K$3,Trades!$B$4:$B$40,"&lt;="&amp;$A21))</f>
        <v>0</v>
      </c>
      <c r="W21" s="14" t="n">
        <f aca="false">IF($A21="",0,Settings!$B$4+SUMIFS(CashEvents!$E$4:$E$30,CashEvents!$A$4:$A$30,"&lt;="&amp;$A21)+SUMIFS(Trades!$J$4:$J$40,Trades!$B$4:$B$40,"&lt;="&amp;$A21))</f>
        <v>0</v>
      </c>
      <c r="X21" s="14" t="str">
        <f aca="false">IF($A21="","",SUMPRODUCT($B21:$K21,$M21:$V21)+$W21)</f>
        <v/>
      </c>
      <c r="Y21" s="14" t="str">
        <f aca="false">IF(OR($A21="",$A20=""),"",SUMIFS(CashEvents!$E$4:$E$30,CashEvents!$A$4:$A$30,"&gt;"&amp;$A20,CashEvents!$A$4:$A$30,"&lt;="&amp;$A21))</f>
        <v/>
      </c>
      <c r="Z21" s="15" t="str">
        <f aca="false">IF(OR($A21="",$A20=""),"",($X21-$Y21)/$X20-1)</f>
        <v/>
      </c>
      <c r="AA21" s="15" t="str">
        <f aca="false">IF(OR($A21="",$L21="",$L20=""),"",$L21/$L20-1)</f>
        <v/>
      </c>
      <c r="AB21" s="23" t="str">
        <f aca="false">IF($A21="","",$AB20*(1+$Z21))</f>
        <v/>
      </c>
      <c r="AC21" s="23" t="str">
        <f aca="false">IF($A21="","",MAX($AB$4:$AB21))</f>
        <v/>
      </c>
      <c r="AD21" s="15" t="str">
        <f aca="false">IF($A21="","",$AB21/$AC21-1)</f>
        <v/>
      </c>
      <c r="AE21" s="23" t="str">
        <f aca="false">IF($A21="","",$AE20*(1+$AA21))</f>
        <v/>
      </c>
    </row>
    <row r="22" customFormat="false" ht="15" hidden="false" customHeight="false" outlineLevel="0" collapsed="false">
      <c r="M22" s="18" t="n">
        <f aca="false">IF($A22="",0,SUMIFS(Trades!$I$4:$I$40,Trades!$D$4:$D$40,B$3,Trades!$B$4:$B$40,"&lt;="&amp;$A22))</f>
        <v>0</v>
      </c>
      <c r="N22" s="18" t="n">
        <f aca="false">IF($A22="",0,SUMIFS(Trades!$I$4:$I$40,Trades!$D$4:$D$40,C$3,Trades!$B$4:$B$40,"&lt;="&amp;$A22))</f>
        <v>0</v>
      </c>
      <c r="O22" s="18" t="n">
        <f aca="false">IF($A22="",0,SUMIFS(Trades!$I$4:$I$40,Trades!$D$4:$D$40,D$3,Trades!$B$4:$B$40,"&lt;="&amp;$A22))</f>
        <v>0</v>
      </c>
      <c r="P22" s="18" t="n">
        <f aca="false">IF($A22="",0,SUMIFS(Trades!$I$4:$I$40,Trades!$D$4:$D$40,E$3,Trades!$B$4:$B$40,"&lt;="&amp;$A22))</f>
        <v>0</v>
      </c>
      <c r="Q22" s="18" t="n">
        <f aca="false">IF($A22="",0,SUMIFS(Trades!$I$4:$I$40,Trades!$D$4:$D$40,F$3,Trades!$B$4:$B$40,"&lt;="&amp;$A22))</f>
        <v>0</v>
      </c>
      <c r="R22" s="18" t="n">
        <f aca="false">IF($A22="",0,SUMIFS(Trades!$I$4:$I$40,Trades!$D$4:$D$40,G$3,Trades!$B$4:$B$40,"&lt;="&amp;$A22))</f>
        <v>0</v>
      </c>
      <c r="S22" s="18" t="n">
        <f aca="false">IF($A22="",0,SUMIFS(Trades!$I$4:$I$40,Trades!$D$4:$D$40,H$3,Trades!$B$4:$B$40,"&lt;="&amp;$A22))</f>
        <v>0</v>
      </c>
      <c r="T22" s="18" t="n">
        <f aca="false">IF($A22="",0,SUMIFS(Trades!$I$4:$I$40,Trades!$D$4:$D$40,I$3,Trades!$B$4:$B$40,"&lt;="&amp;$A22))</f>
        <v>0</v>
      </c>
      <c r="U22" s="18" t="n">
        <f aca="false">IF($A22="",0,SUMIFS(Trades!$I$4:$I$40,Trades!$D$4:$D$40,J$3,Trades!$B$4:$B$40,"&lt;="&amp;$A22))</f>
        <v>0</v>
      </c>
      <c r="V22" s="18" t="n">
        <f aca="false">IF($A22="",0,SUMIFS(Trades!$I$4:$I$40,Trades!$D$4:$D$40,K$3,Trades!$B$4:$B$40,"&lt;="&amp;$A22))</f>
        <v>0</v>
      </c>
      <c r="W22" s="14" t="n">
        <f aca="false">IF($A22="",0,Settings!$B$4+SUMIFS(CashEvents!$E$4:$E$30,CashEvents!$A$4:$A$30,"&lt;="&amp;$A22)+SUMIFS(Trades!$J$4:$J$40,Trades!$B$4:$B$40,"&lt;="&amp;$A22))</f>
        <v>0</v>
      </c>
      <c r="X22" s="14" t="str">
        <f aca="false">IF($A22="","",SUMPRODUCT($B22:$K22,$M22:$V22)+$W22)</f>
        <v/>
      </c>
      <c r="Y22" s="14" t="str">
        <f aca="false">IF(OR($A22="",$A21=""),"",SUMIFS(CashEvents!$E$4:$E$30,CashEvents!$A$4:$A$30,"&gt;"&amp;$A21,CashEvents!$A$4:$A$30,"&lt;="&amp;$A22))</f>
        <v/>
      </c>
      <c r="Z22" s="15" t="str">
        <f aca="false">IF(OR($A22="",$A21=""),"",($X22-$Y22)/$X21-1)</f>
        <v/>
      </c>
      <c r="AA22" s="15" t="str">
        <f aca="false">IF(OR($A22="",$L22="",$L21=""),"",$L22/$L21-1)</f>
        <v/>
      </c>
      <c r="AB22" s="23" t="str">
        <f aca="false">IF($A22="","",$AB21*(1+$Z22))</f>
        <v/>
      </c>
      <c r="AC22" s="23" t="str">
        <f aca="false">IF($A22="","",MAX($AB$4:$AB22))</f>
        <v/>
      </c>
      <c r="AD22" s="15" t="str">
        <f aca="false">IF($A22="","",$AB22/$AC22-1)</f>
        <v/>
      </c>
      <c r="AE22" s="23" t="str">
        <f aca="false">IF($A22="","",$AE21*(1+$AA22))</f>
        <v/>
      </c>
    </row>
    <row r="23" customFormat="false" ht="15" hidden="false" customHeight="false" outlineLevel="0" collapsed="false">
      <c r="M23" s="18" t="n">
        <f aca="false">IF($A23="",0,SUMIFS(Trades!$I$4:$I$40,Trades!$D$4:$D$40,B$3,Trades!$B$4:$B$40,"&lt;="&amp;$A23))</f>
        <v>0</v>
      </c>
      <c r="N23" s="18" t="n">
        <f aca="false">IF($A23="",0,SUMIFS(Trades!$I$4:$I$40,Trades!$D$4:$D$40,C$3,Trades!$B$4:$B$40,"&lt;="&amp;$A23))</f>
        <v>0</v>
      </c>
      <c r="O23" s="18" t="n">
        <f aca="false">IF($A23="",0,SUMIFS(Trades!$I$4:$I$40,Trades!$D$4:$D$40,D$3,Trades!$B$4:$B$40,"&lt;="&amp;$A23))</f>
        <v>0</v>
      </c>
      <c r="P23" s="18" t="n">
        <f aca="false">IF($A23="",0,SUMIFS(Trades!$I$4:$I$40,Trades!$D$4:$D$40,E$3,Trades!$B$4:$B$40,"&lt;="&amp;$A23))</f>
        <v>0</v>
      </c>
      <c r="Q23" s="18" t="n">
        <f aca="false">IF($A23="",0,SUMIFS(Trades!$I$4:$I$40,Trades!$D$4:$D$40,F$3,Trades!$B$4:$B$40,"&lt;="&amp;$A23))</f>
        <v>0</v>
      </c>
      <c r="R23" s="18" t="n">
        <f aca="false">IF($A23="",0,SUMIFS(Trades!$I$4:$I$40,Trades!$D$4:$D$40,G$3,Trades!$B$4:$B$40,"&lt;="&amp;$A23))</f>
        <v>0</v>
      </c>
      <c r="S23" s="18" t="n">
        <f aca="false">IF($A23="",0,SUMIFS(Trades!$I$4:$I$40,Trades!$D$4:$D$40,H$3,Trades!$B$4:$B$40,"&lt;="&amp;$A23))</f>
        <v>0</v>
      </c>
      <c r="T23" s="18" t="n">
        <f aca="false">IF($A23="",0,SUMIFS(Trades!$I$4:$I$40,Trades!$D$4:$D$40,I$3,Trades!$B$4:$B$40,"&lt;="&amp;$A23))</f>
        <v>0</v>
      </c>
      <c r="U23" s="18" t="n">
        <f aca="false">IF($A23="",0,SUMIFS(Trades!$I$4:$I$40,Trades!$D$4:$D$40,J$3,Trades!$B$4:$B$40,"&lt;="&amp;$A23))</f>
        <v>0</v>
      </c>
      <c r="V23" s="18" t="n">
        <f aca="false">IF($A23="",0,SUMIFS(Trades!$I$4:$I$40,Trades!$D$4:$D$40,K$3,Trades!$B$4:$B$40,"&lt;="&amp;$A23))</f>
        <v>0</v>
      </c>
      <c r="W23" s="14" t="n">
        <f aca="false">IF($A23="",0,Settings!$B$4+SUMIFS(CashEvents!$E$4:$E$30,CashEvents!$A$4:$A$30,"&lt;="&amp;$A23)+SUMIFS(Trades!$J$4:$J$40,Trades!$B$4:$B$40,"&lt;="&amp;$A23))</f>
        <v>0</v>
      </c>
      <c r="X23" s="14" t="str">
        <f aca="false">IF($A23="","",SUMPRODUCT($B23:$K23,$M23:$V23)+$W23)</f>
        <v/>
      </c>
      <c r="Y23" s="14" t="str">
        <f aca="false">IF(OR($A23="",$A22=""),"",SUMIFS(CashEvents!$E$4:$E$30,CashEvents!$A$4:$A$30,"&gt;"&amp;$A22,CashEvents!$A$4:$A$30,"&lt;="&amp;$A23))</f>
        <v/>
      </c>
      <c r="Z23" s="15" t="str">
        <f aca="false">IF(OR($A23="",$A22=""),"",($X23-$Y23)/$X22-1)</f>
        <v/>
      </c>
      <c r="AA23" s="15" t="str">
        <f aca="false">IF(OR($A23="",$L23="",$L22=""),"",$L23/$L22-1)</f>
        <v/>
      </c>
      <c r="AB23" s="23" t="str">
        <f aca="false">IF($A23="","",$AB22*(1+$Z23))</f>
        <v/>
      </c>
      <c r="AC23" s="23" t="str">
        <f aca="false">IF($A23="","",MAX($AB$4:$AB23))</f>
        <v/>
      </c>
      <c r="AD23" s="15" t="str">
        <f aca="false">IF($A23="","",$AB23/$AC23-1)</f>
        <v/>
      </c>
      <c r="AE23" s="23" t="str">
        <f aca="false">IF($A23="","",$AE22*(1+$AA23))</f>
        <v/>
      </c>
    </row>
    <row r="24" customFormat="false" ht="15" hidden="false" customHeight="false" outlineLevel="0" collapsed="false">
      <c r="M24" s="18" t="n">
        <f aca="false">IF($A24="",0,SUMIFS(Trades!$I$4:$I$40,Trades!$D$4:$D$40,B$3,Trades!$B$4:$B$40,"&lt;="&amp;$A24))</f>
        <v>0</v>
      </c>
      <c r="N24" s="18" t="n">
        <f aca="false">IF($A24="",0,SUMIFS(Trades!$I$4:$I$40,Trades!$D$4:$D$40,C$3,Trades!$B$4:$B$40,"&lt;="&amp;$A24))</f>
        <v>0</v>
      </c>
      <c r="O24" s="18" t="n">
        <f aca="false">IF($A24="",0,SUMIFS(Trades!$I$4:$I$40,Trades!$D$4:$D$40,D$3,Trades!$B$4:$B$40,"&lt;="&amp;$A24))</f>
        <v>0</v>
      </c>
      <c r="P24" s="18" t="n">
        <f aca="false">IF($A24="",0,SUMIFS(Trades!$I$4:$I$40,Trades!$D$4:$D$40,E$3,Trades!$B$4:$B$40,"&lt;="&amp;$A24))</f>
        <v>0</v>
      </c>
      <c r="Q24" s="18" t="n">
        <f aca="false">IF($A24="",0,SUMIFS(Trades!$I$4:$I$40,Trades!$D$4:$D$40,F$3,Trades!$B$4:$B$40,"&lt;="&amp;$A24))</f>
        <v>0</v>
      </c>
      <c r="R24" s="18" t="n">
        <f aca="false">IF($A24="",0,SUMIFS(Trades!$I$4:$I$40,Trades!$D$4:$D$40,G$3,Trades!$B$4:$B$40,"&lt;="&amp;$A24))</f>
        <v>0</v>
      </c>
      <c r="S24" s="18" t="n">
        <f aca="false">IF($A24="",0,SUMIFS(Trades!$I$4:$I$40,Trades!$D$4:$D$40,H$3,Trades!$B$4:$B$40,"&lt;="&amp;$A24))</f>
        <v>0</v>
      </c>
      <c r="T24" s="18" t="n">
        <f aca="false">IF($A24="",0,SUMIFS(Trades!$I$4:$I$40,Trades!$D$4:$D$40,I$3,Trades!$B$4:$B$40,"&lt;="&amp;$A24))</f>
        <v>0</v>
      </c>
      <c r="U24" s="18" t="n">
        <f aca="false">IF($A24="",0,SUMIFS(Trades!$I$4:$I$40,Trades!$D$4:$D$40,J$3,Trades!$B$4:$B$40,"&lt;="&amp;$A24))</f>
        <v>0</v>
      </c>
      <c r="V24" s="18" t="n">
        <f aca="false">IF($A24="",0,SUMIFS(Trades!$I$4:$I$40,Trades!$D$4:$D$40,K$3,Trades!$B$4:$B$40,"&lt;="&amp;$A24))</f>
        <v>0</v>
      </c>
      <c r="W24" s="14" t="n">
        <f aca="false">IF($A24="",0,Settings!$B$4+SUMIFS(CashEvents!$E$4:$E$30,CashEvents!$A$4:$A$30,"&lt;="&amp;$A24)+SUMIFS(Trades!$J$4:$J$40,Trades!$B$4:$B$40,"&lt;="&amp;$A24))</f>
        <v>0</v>
      </c>
      <c r="X24" s="14" t="str">
        <f aca="false">IF($A24="","",SUMPRODUCT($B24:$K24,$M24:$V24)+$W24)</f>
        <v/>
      </c>
      <c r="Y24" s="14" t="str">
        <f aca="false">IF(OR($A24="",$A23=""),"",SUMIFS(CashEvents!$E$4:$E$30,CashEvents!$A$4:$A$30,"&gt;"&amp;$A23,CashEvents!$A$4:$A$30,"&lt;="&amp;$A24))</f>
        <v/>
      </c>
      <c r="Z24" s="15" t="str">
        <f aca="false">IF(OR($A24="",$A23=""),"",($X24-$Y24)/$X23-1)</f>
        <v/>
      </c>
      <c r="AA24" s="15" t="str">
        <f aca="false">IF(OR($A24="",$L24="",$L23=""),"",$L24/$L23-1)</f>
        <v/>
      </c>
      <c r="AB24" s="23" t="str">
        <f aca="false">IF($A24="","",$AB23*(1+$Z24))</f>
        <v/>
      </c>
      <c r="AC24" s="23" t="str">
        <f aca="false">IF($A24="","",MAX($AB$4:$AB24))</f>
        <v/>
      </c>
      <c r="AD24" s="15" t="str">
        <f aca="false">IF($A24="","",$AB24/$AC24-1)</f>
        <v/>
      </c>
      <c r="AE24" s="23" t="str">
        <f aca="false">IF($A24="","",$AE23*(1+$AA24))</f>
        <v/>
      </c>
    </row>
    <row r="25" customFormat="false" ht="15" hidden="false" customHeight="false" outlineLevel="0" collapsed="false">
      <c r="M25" s="18" t="n">
        <f aca="false">IF($A25="",0,SUMIFS(Trades!$I$4:$I$40,Trades!$D$4:$D$40,B$3,Trades!$B$4:$B$40,"&lt;="&amp;$A25))</f>
        <v>0</v>
      </c>
      <c r="N25" s="18" t="n">
        <f aca="false">IF($A25="",0,SUMIFS(Trades!$I$4:$I$40,Trades!$D$4:$D$40,C$3,Trades!$B$4:$B$40,"&lt;="&amp;$A25))</f>
        <v>0</v>
      </c>
      <c r="O25" s="18" t="n">
        <f aca="false">IF($A25="",0,SUMIFS(Trades!$I$4:$I$40,Trades!$D$4:$D$40,D$3,Trades!$B$4:$B$40,"&lt;="&amp;$A25))</f>
        <v>0</v>
      </c>
      <c r="P25" s="18" t="n">
        <f aca="false">IF($A25="",0,SUMIFS(Trades!$I$4:$I$40,Trades!$D$4:$D$40,E$3,Trades!$B$4:$B$40,"&lt;="&amp;$A25))</f>
        <v>0</v>
      </c>
      <c r="Q25" s="18" t="n">
        <f aca="false">IF($A25="",0,SUMIFS(Trades!$I$4:$I$40,Trades!$D$4:$D$40,F$3,Trades!$B$4:$B$40,"&lt;="&amp;$A25))</f>
        <v>0</v>
      </c>
      <c r="R25" s="18" t="n">
        <f aca="false">IF($A25="",0,SUMIFS(Trades!$I$4:$I$40,Trades!$D$4:$D$40,G$3,Trades!$B$4:$B$40,"&lt;="&amp;$A25))</f>
        <v>0</v>
      </c>
      <c r="S25" s="18" t="n">
        <f aca="false">IF($A25="",0,SUMIFS(Trades!$I$4:$I$40,Trades!$D$4:$D$40,H$3,Trades!$B$4:$B$40,"&lt;="&amp;$A25))</f>
        <v>0</v>
      </c>
      <c r="T25" s="18" t="n">
        <f aca="false">IF($A25="",0,SUMIFS(Trades!$I$4:$I$40,Trades!$D$4:$D$40,I$3,Trades!$B$4:$B$40,"&lt;="&amp;$A25))</f>
        <v>0</v>
      </c>
      <c r="U25" s="18" t="n">
        <f aca="false">IF($A25="",0,SUMIFS(Trades!$I$4:$I$40,Trades!$D$4:$D$40,J$3,Trades!$B$4:$B$40,"&lt;="&amp;$A25))</f>
        <v>0</v>
      </c>
      <c r="V25" s="18" t="n">
        <f aca="false">IF($A25="",0,SUMIFS(Trades!$I$4:$I$40,Trades!$D$4:$D$40,K$3,Trades!$B$4:$B$40,"&lt;="&amp;$A25))</f>
        <v>0</v>
      </c>
      <c r="W25" s="14" t="n">
        <f aca="false">IF($A25="",0,Settings!$B$4+SUMIFS(CashEvents!$E$4:$E$30,CashEvents!$A$4:$A$30,"&lt;="&amp;$A25)+SUMIFS(Trades!$J$4:$J$40,Trades!$B$4:$B$40,"&lt;="&amp;$A25))</f>
        <v>0</v>
      </c>
      <c r="X25" s="14" t="str">
        <f aca="false">IF($A25="","",SUMPRODUCT($B25:$K25,$M25:$V25)+$W25)</f>
        <v/>
      </c>
      <c r="Y25" s="14" t="str">
        <f aca="false">IF(OR($A25="",$A24=""),"",SUMIFS(CashEvents!$E$4:$E$30,CashEvents!$A$4:$A$30,"&gt;"&amp;$A24,CashEvents!$A$4:$A$30,"&lt;="&amp;$A25))</f>
        <v/>
      </c>
      <c r="Z25" s="15" t="str">
        <f aca="false">IF(OR($A25="",$A24=""),"",($X25-$Y25)/$X24-1)</f>
        <v/>
      </c>
      <c r="AA25" s="15" t="str">
        <f aca="false">IF(OR($A25="",$L25="",$L24=""),"",$L25/$L24-1)</f>
        <v/>
      </c>
      <c r="AB25" s="23" t="str">
        <f aca="false">IF($A25="","",$AB24*(1+$Z25))</f>
        <v/>
      </c>
      <c r="AC25" s="23" t="str">
        <f aca="false">IF($A25="","",MAX($AB$4:$AB25))</f>
        <v/>
      </c>
      <c r="AD25" s="15" t="str">
        <f aca="false">IF($A25="","",$AB25/$AC25-1)</f>
        <v/>
      </c>
      <c r="AE25" s="23" t="str">
        <f aca="false">IF($A25="","",$AE24*(1+$AA25))</f>
        <v/>
      </c>
    </row>
    <row r="26" customFormat="false" ht="15" hidden="false" customHeight="false" outlineLevel="0" collapsed="false">
      <c r="M26" s="18" t="n">
        <f aca="false">IF($A26="",0,SUMIFS(Trades!$I$4:$I$40,Trades!$D$4:$D$40,B$3,Trades!$B$4:$B$40,"&lt;="&amp;$A26))</f>
        <v>0</v>
      </c>
      <c r="N26" s="18" t="n">
        <f aca="false">IF($A26="",0,SUMIFS(Trades!$I$4:$I$40,Trades!$D$4:$D$40,C$3,Trades!$B$4:$B$40,"&lt;="&amp;$A26))</f>
        <v>0</v>
      </c>
      <c r="O26" s="18" t="n">
        <f aca="false">IF($A26="",0,SUMIFS(Trades!$I$4:$I$40,Trades!$D$4:$D$40,D$3,Trades!$B$4:$B$40,"&lt;="&amp;$A26))</f>
        <v>0</v>
      </c>
      <c r="P26" s="18" t="n">
        <f aca="false">IF($A26="",0,SUMIFS(Trades!$I$4:$I$40,Trades!$D$4:$D$40,E$3,Trades!$B$4:$B$40,"&lt;="&amp;$A26))</f>
        <v>0</v>
      </c>
      <c r="Q26" s="18" t="n">
        <f aca="false">IF($A26="",0,SUMIFS(Trades!$I$4:$I$40,Trades!$D$4:$D$40,F$3,Trades!$B$4:$B$40,"&lt;="&amp;$A26))</f>
        <v>0</v>
      </c>
      <c r="R26" s="18" t="n">
        <f aca="false">IF($A26="",0,SUMIFS(Trades!$I$4:$I$40,Trades!$D$4:$D$40,G$3,Trades!$B$4:$B$40,"&lt;="&amp;$A26))</f>
        <v>0</v>
      </c>
      <c r="S26" s="18" t="n">
        <f aca="false">IF($A26="",0,SUMIFS(Trades!$I$4:$I$40,Trades!$D$4:$D$40,H$3,Trades!$B$4:$B$40,"&lt;="&amp;$A26))</f>
        <v>0</v>
      </c>
      <c r="T26" s="18" t="n">
        <f aca="false">IF($A26="",0,SUMIFS(Trades!$I$4:$I$40,Trades!$D$4:$D$40,I$3,Trades!$B$4:$B$40,"&lt;="&amp;$A26))</f>
        <v>0</v>
      </c>
      <c r="U26" s="18" t="n">
        <f aca="false">IF($A26="",0,SUMIFS(Trades!$I$4:$I$40,Trades!$D$4:$D$40,J$3,Trades!$B$4:$B$40,"&lt;="&amp;$A26))</f>
        <v>0</v>
      </c>
      <c r="V26" s="18" t="n">
        <f aca="false">IF($A26="",0,SUMIFS(Trades!$I$4:$I$40,Trades!$D$4:$D$40,K$3,Trades!$B$4:$B$40,"&lt;="&amp;$A26))</f>
        <v>0</v>
      </c>
      <c r="W26" s="14" t="n">
        <f aca="false">IF($A26="",0,Settings!$B$4+SUMIFS(CashEvents!$E$4:$E$30,CashEvents!$A$4:$A$30,"&lt;="&amp;$A26)+SUMIFS(Trades!$J$4:$J$40,Trades!$B$4:$B$40,"&lt;="&amp;$A26))</f>
        <v>0</v>
      </c>
      <c r="X26" s="14" t="str">
        <f aca="false">IF($A26="","",SUMPRODUCT($B26:$K26,$M26:$V26)+$W26)</f>
        <v/>
      </c>
      <c r="Y26" s="14" t="str">
        <f aca="false">IF(OR($A26="",$A25=""),"",SUMIFS(CashEvents!$E$4:$E$30,CashEvents!$A$4:$A$30,"&gt;"&amp;$A25,CashEvents!$A$4:$A$30,"&lt;="&amp;$A26))</f>
        <v/>
      </c>
      <c r="Z26" s="15" t="str">
        <f aca="false">IF(OR($A26="",$A25=""),"",($X26-$Y26)/$X25-1)</f>
        <v/>
      </c>
      <c r="AA26" s="15" t="str">
        <f aca="false">IF(OR($A26="",$L26="",$L25=""),"",$L26/$L25-1)</f>
        <v/>
      </c>
      <c r="AB26" s="23" t="str">
        <f aca="false">IF($A26="","",$AB25*(1+$Z26))</f>
        <v/>
      </c>
      <c r="AC26" s="23" t="str">
        <f aca="false">IF($A26="","",MAX($AB$4:$AB26))</f>
        <v/>
      </c>
      <c r="AD26" s="15" t="str">
        <f aca="false">IF($A26="","",$AB26/$AC26-1)</f>
        <v/>
      </c>
      <c r="AE26" s="23" t="str">
        <f aca="false">IF($A26="","",$AE25*(1+$AA26))</f>
        <v/>
      </c>
    </row>
    <row r="27" customFormat="false" ht="15" hidden="false" customHeight="false" outlineLevel="0" collapsed="false">
      <c r="M27" s="18" t="n">
        <f aca="false">IF($A27="",0,SUMIFS(Trades!$I$4:$I$40,Trades!$D$4:$D$40,B$3,Trades!$B$4:$B$40,"&lt;="&amp;$A27))</f>
        <v>0</v>
      </c>
      <c r="N27" s="18" t="n">
        <f aca="false">IF($A27="",0,SUMIFS(Trades!$I$4:$I$40,Trades!$D$4:$D$40,C$3,Trades!$B$4:$B$40,"&lt;="&amp;$A27))</f>
        <v>0</v>
      </c>
      <c r="O27" s="18" t="n">
        <f aca="false">IF($A27="",0,SUMIFS(Trades!$I$4:$I$40,Trades!$D$4:$D$40,D$3,Trades!$B$4:$B$40,"&lt;="&amp;$A27))</f>
        <v>0</v>
      </c>
      <c r="P27" s="18" t="n">
        <f aca="false">IF($A27="",0,SUMIFS(Trades!$I$4:$I$40,Trades!$D$4:$D$40,E$3,Trades!$B$4:$B$40,"&lt;="&amp;$A27))</f>
        <v>0</v>
      </c>
      <c r="Q27" s="18" t="n">
        <f aca="false">IF($A27="",0,SUMIFS(Trades!$I$4:$I$40,Trades!$D$4:$D$40,F$3,Trades!$B$4:$B$40,"&lt;="&amp;$A27))</f>
        <v>0</v>
      </c>
      <c r="R27" s="18" t="n">
        <f aca="false">IF($A27="",0,SUMIFS(Trades!$I$4:$I$40,Trades!$D$4:$D$40,G$3,Trades!$B$4:$B$40,"&lt;="&amp;$A27))</f>
        <v>0</v>
      </c>
      <c r="S27" s="18" t="n">
        <f aca="false">IF($A27="",0,SUMIFS(Trades!$I$4:$I$40,Trades!$D$4:$D$40,H$3,Trades!$B$4:$B$40,"&lt;="&amp;$A27))</f>
        <v>0</v>
      </c>
      <c r="T27" s="18" t="n">
        <f aca="false">IF($A27="",0,SUMIFS(Trades!$I$4:$I$40,Trades!$D$4:$D$40,I$3,Trades!$B$4:$B$40,"&lt;="&amp;$A27))</f>
        <v>0</v>
      </c>
      <c r="U27" s="18" t="n">
        <f aca="false">IF($A27="",0,SUMIFS(Trades!$I$4:$I$40,Trades!$D$4:$D$40,J$3,Trades!$B$4:$B$40,"&lt;="&amp;$A27))</f>
        <v>0</v>
      </c>
      <c r="V27" s="18" t="n">
        <f aca="false">IF($A27="",0,SUMIFS(Trades!$I$4:$I$40,Trades!$D$4:$D$40,K$3,Trades!$B$4:$B$40,"&lt;="&amp;$A27))</f>
        <v>0</v>
      </c>
      <c r="W27" s="14" t="n">
        <f aca="false">IF($A27="",0,Settings!$B$4+SUMIFS(CashEvents!$E$4:$E$30,CashEvents!$A$4:$A$30,"&lt;="&amp;$A27)+SUMIFS(Trades!$J$4:$J$40,Trades!$B$4:$B$40,"&lt;="&amp;$A27))</f>
        <v>0</v>
      </c>
      <c r="X27" s="14" t="str">
        <f aca="false">IF($A27="","",SUMPRODUCT($B27:$K27,$M27:$V27)+$W27)</f>
        <v/>
      </c>
      <c r="Y27" s="14" t="str">
        <f aca="false">IF(OR($A27="",$A26=""),"",SUMIFS(CashEvents!$E$4:$E$30,CashEvents!$A$4:$A$30,"&gt;"&amp;$A26,CashEvents!$A$4:$A$30,"&lt;="&amp;$A27))</f>
        <v/>
      </c>
      <c r="Z27" s="15" t="str">
        <f aca="false">IF(OR($A27="",$A26=""),"",($X27-$Y27)/$X26-1)</f>
        <v/>
      </c>
      <c r="AA27" s="15" t="str">
        <f aca="false">IF(OR($A27="",$L27="",$L26=""),"",$L27/$L26-1)</f>
        <v/>
      </c>
      <c r="AB27" s="23" t="str">
        <f aca="false">IF($A27="","",$AB26*(1+$Z27))</f>
        <v/>
      </c>
      <c r="AC27" s="23" t="str">
        <f aca="false">IF($A27="","",MAX($AB$4:$AB27))</f>
        <v/>
      </c>
      <c r="AD27" s="15" t="str">
        <f aca="false">IF($A27="","",$AB27/$AC27-1)</f>
        <v/>
      </c>
      <c r="AE27" s="23" t="str">
        <f aca="false">IF($A27="","",$AE26*(1+$AA27))</f>
        <v/>
      </c>
    </row>
    <row r="28" customFormat="false" ht="15" hidden="false" customHeight="false" outlineLevel="0" collapsed="false">
      <c r="M28" s="18" t="n">
        <f aca="false">IF($A28="",0,SUMIFS(Trades!$I$4:$I$40,Trades!$D$4:$D$40,B$3,Trades!$B$4:$B$40,"&lt;="&amp;$A28))</f>
        <v>0</v>
      </c>
      <c r="N28" s="18" t="n">
        <f aca="false">IF($A28="",0,SUMIFS(Trades!$I$4:$I$40,Trades!$D$4:$D$40,C$3,Trades!$B$4:$B$40,"&lt;="&amp;$A28))</f>
        <v>0</v>
      </c>
      <c r="O28" s="18" t="n">
        <f aca="false">IF($A28="",0,SUMIFS(Trades!$I$4:$I$40,Trades!$D$4:$D$40,D$3,Trades!$B$4:$B$40,"&lt;="&amp;$A28))</f>
        <v>0</v>
      </c>
      <c r="P28" s="18" t="n">
        <f aca="false">IF($A28="",0,SUMIFS(Trades!$I$4:$I$40,Trades!$D$4:$D$40,E$3,Trades!$B$4:$B$40,"&lt;="&amp;$A28))</f>
        <v>0</v>
      </c>
      <c r="Q28" s="18" t="n">
        <f aca="false">IF($A28="",0,SUMIFS(Trades!$I$4:$I$40,Trades!$D$4:$D$40,F$3,Trades!$B$4:$B$40,"&lt;="&amp;$A28))</f>
        <v>0</v>
      </c>
      <c r="R28" s="18" t="n">
        <f aca="false">IF($A28="",0,SUMIFS(Trades!$I$4:$I$40,Trades!$D$4:$D$40,G$3,Trades!$B$4:$B$40,"&lt;="&amp;$A28))</f>
        <v>0</v>
      </c>
      <c r="S28" s="18" t="n">
        <f aca="false">IF($A28="",0,SUMIFS(Trades!$I$4:$I$40,Trades!$D$4:$D$40,H$3,Trades!$B$4:$B$40,"&lt;="&amp;$A28))</f>
        <v>0</v>
      </c>
      <c r="T28" s="18" t="n">
        <f aca="false">IF($A28="",0,SUMIFS(Trades!$I$4:$I$40,Trades!$D$4:$D$40,I$3,Trades!$B$4:$B$40,"&lt;="&amp;$A28))</f>
        <v>0</v>
      </c>
      <c r="U28" s="18" t="n">
        <f aca="false">IF($A28="",0,SUMIFS(Trades!$I$4:$I$40,Trades!$D$4:$D$40,J$3,Trades!$B$4:$B$40,"&lt;="&amp;$A28))</f>
        <v>0</v>
      </c>
      <c r="V28" s="18" t="n">
        <f aca="false">IF($A28="",0,SUMIFS(Trades!$I$4:$I$40,Trades!$D$4:$D$40,K$3,Trades!$B$4:$B$40,"&lt;="&amp;$A28))</f>
        <v>0</v>
      </c>
      <c r="W28" s="14" t="n">
        <f aca="false">IF($A28="",0,Settings!$B$4+SUMIFS(CashEvents!$E$4:$E$30,CashEvents!$A$4:$A$30,"&lt;="&amp;$A28)+SUMIFS(Trades!$J$4:$J$40,Trades!$B$4:$B$40,"&lt;="&amp;$A28))</f>
        <v>0</v>
      </c>
      <c r="X28" s="14" t="str">
        <f aca="false">IF($A28="","",SUMPRODUCT($B28:$K28,$M28:$V28)+$W28)</f>
        <v/>
      </c>
      <c r="Y28" s="14" t="str">
        <f aca="false">IF(OR($A28="",$A27=""),"",SUMIFS(CashEvents!$E$4:$E$30,CashEvents!$A$4:$A$30,"&gt;"&amp;$A27,CashEvents!$A$4:$A$30,"&lt;="&amp;$A28))</f>
        <v/>
      </c>
      <c r="Z28" s="15" t="str">
        <f aca="false">IF(OR($A28="",$A27=""),"",($X28-$Y28)/$X27-1)</f>
        <v/>
      </c>
      <c r="AA28" s="15" t="str">
        <f aca="false">IF(OR($A28="",$L28="",$L27=""),"",$L28/$L27-1)</f>
        <v/>
      </c>
      <c r="AB28" s="23" t="str">
        <f aca="false">IF($A28="","",$AB27*(1+$Z28))</f>
        <v/>
      </c>
      <c r="AC28" s="23" t="str">
        <f aca="false">IF($A28="","",MAX($AB$4:$AB28))</f>
        <v/>
      </c>
      <c r="AD28" s="15" t="str">
        <f aca="false">IF($A28="","",$AB28/$AC28-1)</f>
        <v/>
      </c>
      <c r="AE28" s="23" t="str">
        <f aca="false">IF($A28="","",$AE27*(1+$AA28))</f>
        <v/>
      </c>
    </row>
    <row r="29" customFormat="false" ht="15" hidden="false" customHeight="false" outlineLevel="0" collapsed="false">
      <c r="M29" s="18" t="n">
        <f aca="false">IF($A29="",0,SUMIFS(Trades!$I$4:$I$40,Trades!$D$4:$D$40,B$3,Trades!$B$4:$B$40,"&lt;="&amp;$A29))</f>
        <v>0</v>
      </c>
      <c r="N29" s="18" t="n">
        <f aca="false">IF($A29="",0,SUMIFS(Trades!$I$4:$I$40,Trades!$D$4:$D$40,C$3,Trades!$B$4:$B$40,"&lt;="&amp;$A29))</f>
        <v>0</v>
      </c>
      <c r="O29" s="18" t="n">
        <f aca="false">IF($A29="",0,SUMIFS(Trades!$I$4:$I$40,Trades!$D$4:$D$40,D$3,Trades!$B$4:$B$40,"&lt;="&amp;$A29))</f>
        <v>0</v>
      </c>
      <c r="P29" s="18" t="n">
        <f aca="false">IF($A29="",0,SUMIFS(Trades!$I$4:$I$40,Trades!$D$4:$D$40,E$3,Trades!$B$4:$B$40,"&lt;="&amp;$A29))</f>
        <v>0</v>
      </c>
      <c r="Q29" s="18" t="n">
        <f aca="false">IF($A29="",0,SUMIFS(Trades!$I$4:$I$40,Trades!$D$4:$D$40,F$3,Trades!$B$4:$B$40,"&lt;="&amp;$A29))</f>
        <v>0</v>
      </c>
      <c r="R29" s="18" t="n">
        <f aca="false">IF($A29="",0,SUMIFS(Trades!$I$4:$I$40,Trades!$D$4:$D$40,G$3,Trades!$B$4:$B$40,"&lt;="&amp;$A29))</f>
        <v>0</v>
      </c>
      <c r="S29" s="18" t="n">
        <f aca="false">IF($A29="",0,SUMIFS(Trades!$I$4:$I$40,Trades!$D$4:$D$40,H$3,Trades!$B$4:$B$40,"&lt;="&amp;$A29))</f>
        <v>0</v>
      </c>
      <c r="T29" s="18" t="n">
        <f aca="false">IF($A29="",0,SUMIFS(Trades!$I$4:$I$40,Trades!$D$4:$D$40,I$3,Trades!$B$4:$B$40,"&lt;="&amp;$A29))</f>
        <v>0</v>
      </c>
      <c r="U29" s="18" t="n">
        <f aca="false">IF($A29="",0,SUMIFS(Trades!$I$4:$I$40,Trades!$D$4:$D$40,J$3,Trades!$B$4:$B$40,"&lt;="&amp;$A29))</f>
        <v>0</v>
      </c>
      <c r="V29" s="18" t="n">
        <f aca="false">IF($A29="",0,SUMIFS(Trades!$I$4:$I$40,Trades!$D$4:$D$40,K$3,Trades!$B$4:$B$40,"&lt;="&amp;$A29))</f>
        <v>0</v>
      </c>
      <c r="W29" s="14" t="n">
        <f aca="false">IF($A29="",0,Settings!$B$4+SUMIFS(CashEvents!$E$4:$E$30,CashEvents!$A$4:$A$30,"&lt;="&amp;$A29)+SUMIFS(Trades!$J$4:$J$40,Trades!$B$4:$B$40,"&lt;="&amp;$A29))</f>
        <v>0</v>
      </c>
      <c r="X29" s="14" t="str">
        <f aca="false">IF($A29="","",SUMPRODUCT($B29:$K29,$M29:$V29)+$W29)</f>
        <v/>
      </c>
      <c r="Y29" s="14" t="str">
        <f aca="false">IF(OR($A29="",$A28=""),"",SUMIFS(CashEvents!$E$4:$E$30,CashEvents!$A$4:$A$30,"&gt;"&amp;$A28,CashEvents!$A$4:$A$30,"&lt;="&amp;$A29))</f>
        <v/>
      </c>
      <c r="Z29" s="15" t="str">
        <f aca="false">IF(OR($A29="",$A28=""),"",($X29-$Y29)/$X28-1)</f>
        <v/>
      </c>
      <c r="AA29" s="15" t="str">
        <f aca="false">IF(OR($A29="",$L29="",$L28=""),"",$L29/$L28-1)</f>
        <v/>
      </c>
      <c r="AB29" s="23" t="str">
        <f aca="false">IF($A29="","",$AB28*(1+$Z29))</f>
        <v/>
      </c>
      <c r="AC29" s="23" t="str">
        <f aca="false">IF($A29="","",MAX($AB$4:$AB29))</f>
        <v/>
      </c>
      <c r="AD29" s="15" t="str">
        <f aca="false">IF($A29="","",$AB29/$AC29-1)</f>
        <v/>
      </c>
      <c r="AE29" s="23" t="str">
        <f aca="false">IF($A29="","",$AE28*(1+$AA29))</f>
        <v/>
      </c>
    </row>
    <row r="30" customFormat="false" ht="15" hidden="false" customHeight="false" outlineLevel="0" collapsed="false">
      <c r="M30" s="18" t="n">
        <f aca="false">IF($A30="",0,SUMIFS(Trades!$I$4:$I$40,Trades!$D$4:$D$40,B$3,Trades!$B$4:$B$40,"&lt;="&amp;$A30))</f>
        <v>0</v>
      </c>
      <c r="N30" s="18" t="n">
        <f aca="false">IF($A30="",0,SUMIFS(Trades!$I$4:$I$40,Trades!$D$4:$D$40,C$3,Trades!$B$4:$B$40,"&lt;="&amp;$A30))</f>
        <v>0</v>
      </c>
      <c r="O30" s="18" t="n">
        <f aca="false">IF($A30="",0,SUMIFS(Trades!$I$4:$I$40,Trades!$D$4:$D$40,D$3,Trades!$B$4:$B$40,"&lt;="&amp;$A30))</f>
        <v>0</v>
      </c>
      <c r="P30" s="18" t="n">
        <f aca="false">IF($A30="",0,SUMIFS(Trades!$I$4:$I$40,Trades!$D$4:$D$40,E$3,Trades!$B$4:$B$40,"&lt;="&amp;$A30))</f>
        <v>0</v>
      </c>
      <c r="Q30" s="18" t="n">
        <f aca="false">IF($A30="",0,SUMIFS(Trades!$I$4:$I$40,Trades!$D$4:$D$40,F$3,Trades!$B$4:$B$40,"&lt;="&amp;$A30))</f>
        <v>0</v>
      </c>
      <c r="R30" s="18" t="n">
        <f aca="false">IF($A30="",0,SUMIFS(Trades!$I$4:$I$40,Trades!$D$4:$D$40,G$3,Trades!$B$4:$B$40,"&lt;="&amp;$A30))</f>
        <v>0</v>
      </c>
      <c r="S30" s="18" t="n">
        <f aca="false">IF($A30="",0,SUMIFS(Trades!$I$4:$I$40,Trades!$D$4:$D$40,H$3,Trades!$B$4:$B$40,"&lt;="&amp;$A30))</f>
        <v>0</v>
      </c>
      <c r="T30" s="18" t="n">
        <f aca="false">IF($A30="",0,SUMIFS(Trades!$I$4:$I$40,Trades!$D$4:$D$40,I$3,Trades!$B$4:$B$40,"&lt;="&amp;$A30))</f>
        <v>0</v>
      </c>
      <c r="U30" s="18" t="n">
        <f aca="false">IF($A30="",0,SUMIFS(Trades!$I$4:$I$40,Trades!$D$4:$D$40,J$3,Trades!$B$4:$B$40,"&lt;="&amp;$A30))</f>
        <v>0</v>
      </c>
      <c r="V30" s="18" t="n">
        <f aca="false">IF($A30="",0,SUMIFS(Trades!$I$4:$I$40,Trades!$D$4:$D$40,K$3,Trades!$B$4:$B$40,"&lt;="&amp;$A30))</f>
        <v>0</v>
      </c>
      <c r="W30" s="14" t="n">
        <f aca="false">IF($A30="",0,Settings!$B$4+SUMIFS(CashEvents!$E$4:$E$30,CashEvents!$A$4:$A$30,"&lt;="&amp;$A30)+SUMIFS(Trades!$J$4:$J$40,Trades!$B$4:$B$40,"&lt;="&amp;$A30))</f>
        <v>0</v>
      </c>
      <c r="X30" s="14" t="str">
        <f aca="false">IF($A30="","",SUMPRODUCT($B30:$K30,$M30:$V30)+$W30)</f>
        <v/>
      </c>
      <c r="Y30" s="14" t="str">
        <f aca="false">IF(OR($A30="",$A29=""),"",SUMIFS(CashEvents!$E$4:$E$30,CashEvents!$A$4:$A$30,"&gt;"&amp;$A29,CashEvents!$A$4:$A$30,"&lt;="&amp;$A30))</f>
        <v/>
      </c>
      <c r="Z30" s="15" t="str">
        <f aca="false">IF(OR($A30="",$A29=""),"",($X30-$Y30)/$X29-1)</f>
        <v/>
      </c>
      <c r="AA30" s="15" t="str">
        <f aca="false">IF(OR($A30="",$L30="",$L29=""),"",$L30/$L29-1)</f>
        <v/>
      </c>
      <c r="AB30" s="23" t="str">
        <f aca="false">IF($A30="","",$AB29*(1+$Z30))</f>
        <v/>
      </c>
      <c r="AC30" s="23" t="str">
        <f aca="false">IF($A30="","",MAX($AB$4:$AB30))</f>
        <v/>
      </c>
      <c r="AD30" s="15" t="str">
        <f aca="false">IF($A30="","",$AB30/$AC30-1)</f>
        <v/>
      </c>
      <c r="AE30" s="23" t="str">
        <f aca="false">IF($A30="","",$AE29*(1+$AA30))</f>
        <v/>
      </c>
    </row>
    <row r="31" customFormat="false" ht="15" hidden="false" customHeight="false" outlineLevel="0" collapsed="false">
      <c r="M31" s="18" t="n">
        <f aca="false">IF($A31="",0,SUMIFS(Trades!$I$4:$I$40,Trades!$D$4:$D$40,B$3,Trades!$B$4:$B$40,"&lt;="&amp;$A31))</f>
        <v>0</v>
      </c>
      <c r="N31" s="18" t="n">
        <f aca="false">IF($A31="",0,SUMIFS(Trades!$I$4:$I$40,Trades!$D$4:$D$40,C$3,Trades!$B$4:$B$40,"&lt;="&amp;$A31))</f>
        <v>0</v>
      </c>
      <c r="O31" s="18" t="n">
        <f aca="false">IF($A31="",0,SUMIFS(Trades!$I$4:$I$40,Trades!$D$4:$D$40,D$3,Trades!$B$4:$B$40,"&lt;="&amp;$A31))</f>
        <v>0</v>
      </c>
      <c r="P31" s="18" t="n">
        <f aca="false">IF($A31="",0,SUMIFS(Trades!$I$4:$I$40,Trades!$D$4:$D$40,E$3,Trades!$B$4:$B$40,"&lt;="&amp;$A31))</f>
        <v>0</v>
      </c>
      <c r="Q31" s="18" t="n">
        <f aca="false">IF($A31="",0,SUMIFS(Trades!$I$4:$I$40,Trades!$D$4:$D$40,F$3,Trades!$B$4:$B$40,"&lt;="&amp;$A31))</f>
        <v>0</v>
      </c>
      <c r="R31" s="18" t="n">
        <f aca="false">IF($A31="",0,SUMIFS(Trades!$I$4:$I$40,Trades!$D$4:$D$40,G$3,Trades!$B$4:$B$40,"&lt;="&amp;$A31))</f>
        <v>0</v>
      </c>
      <c r="S31" s="18" t="n">
        <f aca="false">IF($A31="",0,SUMIFS(Trades!$I$4:$I$40,Trades!$D$4:$D$40,H$3,Trades!$B$4:$B$40,"&lt;="&amp;$A31))</f>
        <v>0</v>
      </c>
      <c r="T31" s="18" t="n">
        <f aca="false">IF($A31="",0,SUMIFS(Trades!$I$4:$I$40,Trades!$D$4:$D$40,I$3,Trades!$B$4:$B$40,"&lt;="&amp;$A31))</f>
        <v>0</v>
      </c>
      <c r="U31" s="18" t="n">
        <f aca="false">IF($A31="",0,SUMIFS(Trades!$I$4:$I$40,Trades!$D$4:$D$40,J$3,Trades!$B$4:$B$40,"&lt;="&amp;$A31))</f>
        <v>0</v>
      </c>
      <c r="V31" s="18" t="n">
        <f aca="false">IF($A31="",0,SUMIFS(Trades!$I$4:$I$40,Trades!$D$4:$D$40,K$3,Trades!$B$4:$B$40,"&lt;="&amp;$A31))</f>
        <v>0</v>
      </c>
      <c r="W31" s="14" t="n">
        <f aca="false">IF($A31="",0,Settings!$B$4+SUMIFS(CashEvents!$E$4:$E$30,CashEvents!$A$4:$A$30,"&lt;="&amp;$A31)+SUMIFS(Trades!$J$4:$J$40,Trades!$B$4:$B$40,"&lt;="&amp;$A31))</f>
        <v>0</v>
      </c>
      <c r="X31" s="14" t="str">
        <f aca="false">IF($A31="","",SUMPRODUCT($B31:$K31,$M31:$V31)+$W31)</f>
        <v/>
      </c>
      <c r="Y31" s="14" t="str">
        <f aca="false">IF(OR($A31="",$A30=""),"",SUMIFS(CashEvents!$E$4:$E$30,CashEvents!$A$4:$A$30,"&gt;"&amp;$A30,CashEvents!$A$4:$A$30,"&lt;="&amp;$A31))</f>
        <v/>
      </c>
      <c r="Z31" s="15" t="str">
        <f aca="false">IF(OR($A31="",$A30=""),"",($X31-$Y31)/$X30-1)</f>
        <v/>
      </c>
      <c r="AA31" s="15" t="str">
        <f aca="false">IF(OR($A31="",$L31="",$L30=""),"",$L31/$L30-1)</f>
        <v/>
      </c>
      <c r="AB31" s="23" t="str">
        <f aca="false">IF($A31="","",$AB30*(1+$Z31))</f>
        <v/>
      </c>
      <c r="AC31" s="23" t="str">
        <f aca="false">IF($A31="","",MAX($AB$4:$AB31))</f>
        <v/>
      </c>
      <c r="AD31" s="15" t="str">
        <f aca="false">IF($A31="","",$AB31/$AC31-1)</f>
        <v/>
      </c>
      <c r="AE31" s="23" t="str">
        <f aca="false">IF($A31="","",$AE30*(1+$AA31))</f>
        <v/>
      </c>
    </row>
    <row r="32" customFormat="false" ht="15" hidden="false" customHeight="false" outlineLevel="0" collapsed="false">
      <c r="M32" s="18" t="n">
        <f aca="false">IF($A32="",0,SUMIFS(Trades!$I$4:$I$40,Trades!$D$4:$D$40,B$3,Trades!$B$4:$B$40,"&lt;="&amp;$A32))</f>
        <v>0</v>
      </c>
      <c r="N32" s="18" t="n">
        <f aca="false">IF($A32="",0,SUMIFS(Trades!$I$4:$I$40,Trades!$D$4:$D$40,C$3,Trades!$B$4:$B$40,"&lt;="&amp;$A32))</f>
        <v>0</v>
      </c>
      <c r="O32" s="18" t="n">
        <f aca="false">IF($A32="",0,SUMIFS(Trades!$I$4:$I$40,Trades!$D$4:$D$40,D$3,Trades!$B$4:$B$40,"&lt;="&amp;$A32))</f>
        <v>0</v>
      </c>
      <c r="P32" s="18" t="n">
        <f aca="false">IF($A32="",0,SUMIFS(Trades!$I$4:$I$40,Trades!$D$4:$D$40,E$3,Trades!$B$4:$B$40,"&lt;="&amp;$A32))</f>
        <v>0</v>
      </c>
      <c r="Q32" s="18" t="n">
        <f aca="false">IF($A32="",0,SUMIFS(Trades!$I$4:$I$40,Trades!$D$4:$D$40,F$3,Trades!$B$4:$B$40,"&lt;="&amp;$A32))</f>
        <v>0</v>
      </c>
      <c r="R32" s="18" t="n">
        <f aca="false">IF($A32="",0,SUMIFS(Trades!$I$4:$I$40,Trades!$D$4:$D$40,G$3,Trades!$B$4:$B$40,"&lt;="&amp;$A32))</f>
        <v>0</v>
      </c>
      <c r="S32" s="18" t="n">
        <f aca="false">IF($A32="",0,SUMIFS(Trades!$I$4:$I$40,Trades!$D$4:$D$40,H$3,Trades!$B$4:$B$40,"&lt;="&amp;$A32))</f>
        <v>0</v>
      </c>
      <c r="T32" s="18" t="n">
        <f aca="false">IF($A32="",0,SUMIFS(Trades!$I$4:$I$40,Trades!$D$4:$D$40,I$3,Trades!$B$4:$B$40,"&lt;="&amp;$A32))</f>
        <v>0</v>
      </c>
      <c r="U32" s="18" t="n">
        <f aca="false">IF($A32="",0,SUMIFS(Trades!$I$4:$I$40,Trades!$D$4:$D$40,J$3,Trades!$B$4:$B$40,"&lt;="&amp;$A32))</f>
        <v>0</v>
      </c>
      <c r="V32" s="18" t="n">
        <f aca="false">IF($A32="",0,SUMIFS(Trades!$I$4:$I$40,Trades!$D$4:$D$40,K$3,Trades!$B$4:$B$40,"&lt;="&amp;$A32))</f>
        <v>0</v>
      </c>
      <c r="W32" s="14" t="n">
        <f aca="false">IF($A32="",0,Settings!$B$4+SUMIFS(CashEvents!$E$4:$E$30,CashEvents!$A$4:$A$30,"&lt;="&amp;$A32)+SUMIFS(Trades!$J$4:$J$40,Trades!$B$4:$B$40,"&lt;="&amp;$A32))</f>
        <v>0</v>
      </c>
      <c r="X32" s="14" t="str">
        <f aca="false">IF($A32="","",SUMPRODUCT($B32:$K32,$M32:$V32)+$W32)</f>
        <v/>
      </c>
      <c r="Y32" s="14" t="str">
        <f aca="false">IF(OR($A32="",$A31=""),"",SUMIFS(CashEvents!$E$4:$E$30,CashEvents!$A$4:$A$30,"&gt;"&amp;$A31,CashEvents!$A$4:$A$30,"&lt;="&amp;$A32))</f>
        <v/>
      </c>
      <c r="Z32" s="15" t="str">
        <f aca="false">IF(OR($A32="",$A31=""),"",($X32-$Y32)/$X31-1)</f>
        <v/>
      </c>
      <c r="AA32" s="15" t="str">
        <f aca="false">IF(OR($A32="",$L32="",$L31=""),"",$L32/$L31-1)</f>
        <v/>
      </c>
      <c r="AB32" s="23" t="str">
        <f aca="false">IF($A32="","",$AB31*(1+$Z32))</f>
        <v/>
      </c>
      <c r="AC32" s="23" t="str">
        <f aca="false">IF($A32="","",MAX($AB$4:$AB32))</f>
        <v/>
      </c>
      <c r="AD32" s="15" t="str">
        <f aca="false">IF($A32="","",$AB32/$AC32-1)</f>
        <v/>
      </c>
      <c r="AE32" s="23" t="str">
        <f aca="false">IF($A32="","",$AE31*(1+$AA32))</f>
        <v/>
      </c>
    </row>
    <row r="33" customFormat="false" ht="15" hidden="false" customHeight="false" outlineLevel="0" collapsed="false">
      <c r="M33" s="18" t="n">
        <f aca="false">IF($A33="",0,SUMIFS(Trades!$I$4:$I$40,Trades!$D$4:$D$40,B$3,Trades!$B$4:$B$40,"&lt;="&amp;$A33))</f>
        <v>0</v>
      </c>
      <c r="N33" s="18" t="n">
        <f aca="false">IF($A33="",0,SUMIFS(Trades!$I$4:$I$40,Trades!$D$4:$D$40,C$3,Trades!$B$4:$B$40,"&lt;="&amp;$A33))</f>
        <v>0</v>
      </c>
      <c r="O33" s="18" t="n">
        <f aca="false">IF($A33="",0,SUMIFS(Trades!$I$4:$I$40,Trades!$D$4:$D$40,D$3,Trades!$B$4:$B$40,"&lt;="&amp;$A33))</f>
        <v>0</v>
      </c>
      <c r="P33" s="18" t="n">
        <f aca="false">IF($A33="",0,SUMIFS(Trades!$I$4:$I$40,Trades!$D$4:$D$40,E$3,Trades!$B$4:$B$40,"&lt;="&amp;$A33))</f>
        <v>0</v>
      </c>
      <c r="Q33" s="18" t="n">
        <f aca="false">IF($A33="",0,SUMIFS(Trades!$I$4:$I$40,Trades!$D$4:$D$40,F$3,Trades!$B$4:$B$40,"&lt;="&amp;$A33))</f>
        <v>0</v>
      </c>
      <c r="R33" s="18" t="n">
        <f aca="false">IF($A33="",0,SUMIFS(Trades!$I$4:$I$40,Trades!$D$4:$D$40,G$3,Trades!$B$4:$B$40,"&lt;="&amp;$A33))</f>
        <v>0</v>
      </c>
      <c r="S33" s="18" t="n">
        <f aca="false">IF($A33="",0,SUMIFS(Trades!$I$4:$I$40,Trades!$D$4:$D$40,H$3,Trades!$B$4:$B$40,"&lt;="&amp;$A33))</f>
        <v>0</v>
      </c>
      <c r="T33" s="18" t="n">
        <f aca="false">IF($A33="",0,SUMIFS(Trades!$I$4:$I$40,Trades!$D$4:$D$40,I$3,Trades!$B$4:$B$40,"&lt;="&amp;$A33))</f>
        <v>0</v>
      </c>
      <c r="U33" s="18" t="n">
        <f aca="false">IF($A33="",0,SUMIFS(Trades!$I$4:$I$40,Trades!$D$4:$D$40,J$3,Trades!$B$4:$B$40,"&lt;="&amp;$A33))</f>
        <v>0</v>
      </c>
      <c r="V33" s="18" t="n">
        <f aca="false">IF($A33="",0,SUMIFS(Trades!$I$4:$I$40,Trades!$D$4:$D$40,K$3,Trades!$B$4:$B$40,"&lt;="&amp;$A33))</f>
        <v>0</v>
      </c>
      <c r="W33" s="14" t="n">
        <f aca="false">IF($A33="",0,Settings!$B$4+SUMIFS(CashEvents!$E$4:$E$30,CashEvents!$A$4:$A$30,"&lt;="&amp;$A33)+SUMIFS(Trades!$J$4:$J$40,Trades!$B$4:$B$40,"&lt;="&amp;$A33))</f>
        <v>0</v>
      </c>
      <c r="X33" s="14" t="str">
        <f aca="false">IF($A33="","",SUMPRODUCT($B33:$K33,$M33:$V33)+$W33)</f>
        <v/>
      </c>
      <c r="Y33" s="14" t="str">
        <f aca="false">IF(OR($A33="",$A32=""),"",SUMIFS(CashEvents!$E$4:$E$30,CashEvents!$A$4:$A$30,"&gt;"&amp;$A32,CashEvents!$A$4:$A$30,"&lt;="&amp;$A33))</f>
        <v/>
      </c>
      <c r="Z33" s="15" t="str">
        <f aca="false">IF(OR($A33="",$A32=""),"",($X33-$Y33)/$X32-1)</f>
        <v/>
      </c>
      <c r="AA33" s="15" t="str">
        <f aca="false">IF(OR($A33="",$L33="",$L32=""),"",$L33/$L32-1)</f>
        <v/>
      </c>
      <c r="AB33" s="23" t="str">
        <f aca="false">IF($A33="","",$AB32*(1+$Z33))</f>
        <v/>
      </c>
      <c r="AC33" s="23" t="str">
        <f aca="false">IF($A33="","",MAX($AB$4:$AB33))</f>
        <v/>
      </c>
      <c r="AD33" s="15" t="str">
        <f aca="false">IF($A33="","",$AB33/$AC33-1)</f>
        <v/>
      </c>
      <c r="AE33" s="23" t="str">
        <f aca="false">IF($A33="","",$AE32*(1+$AA33))</f>
        <v/>
      </c>
    </row>
    <row r="34" customFormat="false" ht="15" hidden="false" customHeight="false" outlineLevel="0" collapsed="false">
      <c r="M34" s="18" t="n">
        <f aca="false">IF($A34="",0,SUMIFS(Trades!$I$4:$I$40,Trades!$D$4:$D$40,B$3,Trades!$B$4:$B$40,"&lt;="&amp;$A34))</f>
        <v>0</v>
      </c>
      <c r="N34" s="18" t="n">
        <f aca="false">IF($A34="",0,SUMIFS(Trades!$I$4:$I$40,Trades!$D$4:$D$40,C$3,Trades!$B$4:$B$40,"&lt;="&amp;$A34))</f>
        <v>0</v>
      </c>
      <c r="O34" s="18" t="n">
        <f aca="false">IF($A34="",0,SUMIFS(Trades!$I$4:$I$40,Trades!$D$4:$D$40,D$3,Trades!$B$4:$B$40,"&lt;="&amp;$A34))</f>
        <v>0</v>
      </c>
      <c r="P34" s="18" t="n">
        <f aca="false">IF($A34="",0,SUMIFS(Trades!$I$4:$I$40,Trades!$D$4:$D$40,E$3,Trades!$B$4:$B$40,"&lt;="&amp;$A34))</f>
        <v>0</v>
      </c>
      <c r="Q34" s="18" t="n">
        <f aca="false">IF($A34="",0,SUMIFS(Trades!$I$4:$I$40,Trades!$D$4:$D$40,F$3,Trades!$B$4:$B$40,"&lt;="&amp;$A34))</f>
        <v>0</v>
      </c>
      <c r="R34" s="18" t="n">
        <f aca="false">IF($A34="",0,SUMIFS(Trades!$I$4:$I$40,Trades!$D$4:$D$40,G$3,Trades!$B$4:$B$40,"&lt;="&amp;$A34))</f>
        <v>0</v>
      </c>
      <c r="S34" s="18" t="n">
        <f aca="false">IF($A34="",0,SUMIFS(Trades!$I$4:$I$40,Trades!$D$4:$D$40,H$3,Trades!$B$4:$B$40,"&lt;="&amp;$A34))</f>
        <v>0</v>
      </c>
      <c r="T34" s="18" t="n">
        <f aca="false">IF($A34="",0,SUMIFS(Trades!$I$4:$I$40,Trades!$D$4:$D$40,I$3,Trades!$B$4:$B$40,"&lt;="&amp;$A34))</f>
        <v>0</v>
      </c>
      <c r="U34" s="18" t="n">
        <f aca="false">IF($A34="",0,SUMIFS(Trades!$I$4:$I$40,Trades!$D$4:$D$40,J$3,Trades!$B$4:$B$40,"&lt;="&amp;$A34))</f>
        <v>0</v>
      </c>
      <c r="V34" s="18" t="n">
        <f aca="false">IF($A34="",0,SUMIFS(Trades!$I$4:$I$40,Trades!$D$4:$D$40,K$3,Trades!$B$4:$B$40,"&lt;="&amp;$A34))</f>
        <v>0</v>
      </c>
      <c r="W34" s="14" t="n">
        <f aca="false">IF($A34="",0,Settings!$B$4+SUMIFS(CashEvents!$E$4:$E$30,CashEvents!$A$4:$A$30,"&lt;="&amp;$A34)+SUMIFS(Trades!$J$4:$J$40,Trades!$B$4:$B$40,"&lt;="&amp;$A34))</f>
        <v>0</v>
      </c>
      <c r="X34" s="14" t="str">
        <f aca="false">IF($A34="","",SUMPRODUCT($B34:$K34,$M34:$V34)+$W34)</f>
        <v/>
      </c>
      <c r="Y34" s="14" t="str">
        <f aca="false">IF(OR($A34="",$A33=""),"",SUMIFS(CashEvents!$E$4:$E$30,CashEvents!$A$4:$A$30,"&gt;"&amp;$A33,CashEvents!$A$4:$A$30,"&lt;="&amp;$A34))</f>
        <v/>
      </c>
      <c r="Z34" s="15" t="str">
        <f aca="false">IF(OR($A34="",$A33=""),"",($X34-$Y34)/$X33-1)</f>
        <v/>
      </c>
      <c r="AA34" s="15" t="str">
        <f aca="false">IF(OR($A34="",$L34="",$L33=""),"",$L34/$L33-1)</f>
        <v/>
      </c>
      <c r="AB34" s="23" t="str">
        <f aca="false">IF($A34="","",$AB33*(1+$Z34))</f>
        <v/>
      </c>
      <c r="AC34" s="23" t="str">
        <f aca="false">IF($A34="","",MAX($AB$4:$AB34))</f>
        <v/>
      </c>
      <c r="AD34" s="15" t="str">
        <f aca="false">IF($A34="","",$AB34/$AC34-1)</f>
        <v/>
      </c>
      <c r="AE34" s="23" t="str">
        <f aca="false">IF($A34="","",$AE33*(1+$AA34))</f>
        <v/>
      </c>
    </row>
    <row r="35" customFormat="false" ht="15" hidden="false" customHeight="false" outlineLevel="0" collapsed="false">
      <c r="M35" s="18" t="n">
        <f aca="false">IF($A35="",0,SUMIFS(Trades!$I$4:$I$40,Trades!$D$4:$D$40,B$3,Trades!$B$4:$B$40,"&lt;="&amp;$A35))</f>
        <v>0</v>
      </c>
      <c r="N35" s="18" t="n">
        <f aca="false">IF($A35="",0,SUMIFS(Trades!$I$4:$I$40,Trades!$D$4:$D$40,C$3,Trades!$B$4:$B$40,"&lt;="&amp;$A35))</f>
        <v>0</v>
      </c>
      <c r="O35" s="18" t="n">
        <f aca="false">IF($A35="",0,SUMIFS(Trades!$I$4:$I$40,Trades!$D$4:$D$40,D$3,Trades!$B$4:$B$40,"&lt;="&amp;$A35))</f>
        <v>0</v>
      </c>
      <c r="P35" s="18" t="n">
        <f aca="false">IF($A35="",0,SUMIFS(Trades!$I$4:$I$40,Trades!$D$4:$D$40,E$3,Trades!$B$4:$B$40,"&lt;="&amp;$A35))</f>
        <v>0</v>
      </c>
      <c r="Q35" s="18" t="n">
        <f aca="false">IF($A35="",0,SUMIFS(Trades!$I$4:$I$40,Trades!$D$4:$D$40,F$3,Trades!$B$4:$B$40,"&lt;="&amp;$A35))</f>
        <v>0</v>
      </c>
      <c r="R35" s="18" t="n">
        <f aca="false">IF($A35="",0,SUMIFS(Trades!$I$4:$I$40,Trades!$D$4:$D$40,G$3,Trades!$B$4:$B$40,"&lt;="&amp;$A35))</f>
        <v>0</v>
      </c>
      <c r="S35" s="18" t="n">
        <f aca="false">IF($A35="",0,SUMIFS(Trades!$I$4:$I$40,Trades!$D$4:$D$40,H$3,Trades!$B$4:$B$40,"&lt;="&amp;$A35))</f>
        <v>0</v>
      </c>
      <c r="T35" s="18" t="n">
        <f aca="false">IF($A35="",0,SUMIFS(Trades!$I$4:$I$40,Trades!$D$4:$D$40,I$3,Trades!$B$4:$B$40,"&lt;="&amp;$A35))</f>
        <v>0</v>
      </c>
      <c r="U35" s="18" t="n">
        <f aca="false">IF($A35="",0,SUMIFS(Trades!$I$4:$I$40,Trades!$D$4:$D$40,J$3,Trades!$B$4:$B$40,"&lt;="&amp;$A35))</f>
        <v>0</v>
      </c>
      <c r="V35" s="18" t="n">
        <f aca="false">IF($A35="",0,SUMIFS(Trades!$I$4:$I$40,Trades!$D$4:$D$40,K$3,Trades!$B$4:$B$40,"&lt;="&amp;$A35))</f>
        <v>0</v>
      </c>
      <c r="W35" s="14" t="n">
        <f aca="false">IF($A35="",0,Settings!$B$4+SUMIFS(CashEvents!$E$4:$E$30,CashEvents!$A$4:$A$30,"&lt;="&amp;$A35)+SUMIFS(Trades!$J$4:$J$40,Trades!$B$4:$B$40,"&lt;="&amp;$A35))</f>
        <v>0</v>
      </c>
      <c r="X35" s="14" t="str">
        <f aca="false">IF($A35="","",SUMPRODUCT($B35:$K35,$M35:$V35)+$W35)</f>
        <v/>
      </c>
      <c r="Y35" s="14" t="str">
        <f aca="false">IF(OR($A35="",$A34=""),"",SUMIFS(CashEvents!$E$4:$E$30,CashEvents!$A$4:$A$30,"&gt;"&amp;$A34,CashEvents!$A$4:$A$30,"&lt;="&amp;$A35))</f>
        <v/>
      </c>
      <c r="Z35" s="15" t="str">
        <f aca="false">IF(OR($A35="",$A34=""),"",($X35-$Y35)/$X34-1)</f>
        <v/>
      </c>
      <c r="AA35" s="15" t="str">
        <f aca="false">IF(OR($A35="",$L35="",$L34=""),"",$L35/$L34-1)</f>
        <v/>
      </c>
      <c r="AB35" s="23" t="str">
        <f aca="false">IF($A35="","",$AB34*(1+$Z35))</f>
        <v/>
      </c>
      <c r="AC35" s="23" t="str">
        <f aca="false">IF($A35="","",MAX($AB$4:$AB35))</f>
        <v/>
      </c>
      <c r="AD35" s="15" t="str">
        <f aca="false">IF($A35="","",$AB35/$AC35-1)</f>
        <v/>
      </c>
      <c r="AE35" s="23" t="str">
        <f aca="false">IF($A35="","",$AE34*(1+$AA35))</f>
        <v/>
      </c>
    </row>
    <row r="36" customFormat="false" ht="15" hidden="false" customHeight="false" outlineLevel="0" collapsed="false">
      <c r="M36" s="18" t="n">
        <f aca="false">IF($A36="",0,SUMIFS(Trades!$I$4:$I$40,Trades!$D$4:$D$40,B$3,Trades!$B$4:$B$40,"&lt;="&amp;$A36))</f>
        <v>0</v>
      </c>
      <c r="N36" s="18" t="n">
        <f aca="false">IF($A36="",0,SUMIFS(Trades!$I$4:$I$40,Trades!$D$4:$D$40,C$3,Trades!$B$4:$B$40,"&lt;="&amp;$A36))</f>
        <v>0</v>
      </c>
      <c r="O36" s="18" t="n">
        <f aca="false">IF($A36="",0,SUMIFS(Trades!$I$4:$I$40,Trades!$D$4:$D$40,D$3,Trades!$B$4:$B$40,"&lt;="&amp;$A36))</f>
        <v>0</v>
      </c>
      <c r="P36" s="18" t="n">
        <f aca="false">IF($A36="",0,SUMIFS(Trades!$I$4:$I$40,Trades!$D$4:$D$40,E$3,Trades!$B$4:$B$40,"&lt;="&amp;$A36))</f>
        <v>0</v>
      </c>
      <c r="Q36" s="18" t="n">
        <f aca="false">IF($A36="",0,SUMIFS(Trades!$I$4:$I$40,Trades!$D$4:$D$40,F$3,Trades!$B$4:$B$40,"&lt;="&amp;$A36))</f>
        <v>0</v>
      </c>
      <c r="R36" s="18" t="n">
        <f aca="false">IF($A36="",0,SUMIFS(Trades!$I$4:$I$40,Trades!$D$4:$D$40,G$3,Trades!$B$4:$B$40,"&lt;="&amp;$A36))</f>
        <v>0</v>
      </c>
      <c r="S36" s="18" t="n">
        <f aca="false">IF($A36="",0,SUMIFS(Trades!$I$4:$I$40,Trades!$D$4:$D$40,H$3,Trades!$B$4:$B$40,"&lt;="&amp;$A36))</f>
        <v>0</v>
      </c>
      <c r="T36" s="18" t="n">
        <f aca="false">IF($A36="",0,SUMIFS(Trades!$I$4:$I$40,Trades!$D$4:$D$40,I$3,Trades!$B$4:$B$40,"&lt;="&amp;$A36))</f>
        <v>0</v>
      </c>
      <c r="U36" s="18" t="n">
        <f aca="false">IF($A36="",0,SUMIFS(Trades!$I$4:$I$40,Trades!$D$4:$D$40,J$3,Trades!$B$4:$B$40,"&lt;="&amp;$A36))</f>
        <v>0</v>
      </c>
      <c r="V36" s="18" t="n">
        <f aca="false">IF($A36="",0,SUMIFS(Trades!$I$4:$I$40,Trades!$D$4:$D$40,K$3,Trades!$B$4:$B$40,"&lt;="&amp;$A36))</f>
        <v>0</v>
      </c>
      <c r="W36" s="14" t="n">
        <f aca="false">IF($A36="",0,Settings!$B$4+SUMIFS(CashEvents!$E$4:$E$30,CashEvents!$A$4:$A$30,"&lt;="&amp;$A36)+SUMIFS(Trades!$J$4:$J$40,Trades!$B$4:$B$40,"&lt;="&amp;$A36))</f>
        <v>0</v>
      </c>
      <c r="X36" s="14" t="str">
        <f aca="false">IF($A36="","",SUMPRODUCT($B36:$K36,$M36:$V36)+$W36)</f>
        <v/>
      </c>
      <c r="Y36" s="14" t="str">
        <f aca="false">IF(OR($A36="",$A35=""),"",SUMIFS(CashEvents!$E$4:$E$30,CashEvents!$A$4:$A$30,"&gt;"&amp;$A35,CashEvents!$A$4:$A$30,"&lt;="&amp;$A36))</f>
        <v/>
      </c>
      <c r="Z36" s="15" t="str">
        <f aca="false">IF(OR($A36="",$A35=""),"",($X36-$Y36)/$X35-1)</f>
        <v/>
      </c>
      <c r="AA36" s="15" t="str">
        <f aca="false">IF(OR($A36="",$L36="",$L35=""),"",$L36/$L35-1)</f>
        <v/>
      </c>
      <c r="AB36" s="23" t="str">
        <f aca="false">IF($A36="","",$AB35*(1+$Z36))</f>
        <v/>
      </c>
      <c r="AC36" s="23" t="str">
        <f aca="false">IF($A36="","",MAX($AB$4:$AB36))</f>
        <v/>
      </c>
      <c r="AD36" s="15" t="str">
        <f aca="false">IF($A36="","",$AB36/$AC36-1)</f>
        <v/>
      </c>
      <c r="AE36" s="23" t="str">
        <f aca="false">IF($A36="","",$AE35*(1+$AA36))</f>
        <v/>
      </c>
    </row>
    <row r="37" customFormat="false" ht="15" hidden="false" customHeight="false" outlineLevel="0" collapsed="false">
      <c r="M37" s="18" t="n">
        <f aca="false">IF($A37="",0,SUMIFS(Trades!$I$4:$I$40,Trades!$D$4:$D$40,B$3,Trades!$B$4:$B$40,"&lt;="&amp;$A37))</f>
        <v>0</v>
      </c>
      <c r="N37" s="18" t="n">
        <f aca="false">IF($A37="",0,SUMIFS(Trades!$I$4:$I$40,Trades!$D$4:$D$40,C$3,Trades!$B$4:$B$40,"&lt;="&amp;$A37))</f>
        <v>0</v>
      </c>
      <c r="O37" s="18" t="n">
        <f aca="false">IF($A37="",0,SUMIFS(Trades!$I$4:$I$40,Trades!$D$4:$D$40,D$3,Trades!$B$4:$B$40,"&lt;="&amp;$A37))</f>
        <v>0</v>
      </c>
      <c r="P37" s="18" t="n">
        <f aca="false">IF($A37="",0,SUMIFS(Trades!$I$4:$I$40,Trades!$D$4:$D$40,E$3,Trades!$B$4:$B$40,"&lt;="&amp;$A37))</f>
        <v>0</v>
      </c>
      <c r="Q37" s="18" t="n">
        <f aca="false">IF($A37="",0,SUMIFS(Trades!$I$4:$I$40,Trades!$D$4:$D$40,F$3,Trades!$B$4:$B$40,"&lt;="&amp;$A37))</f>
        <v>0</v>
      </c>
      <c r="R37" s="18" t="n">
        <f aca="false">IF($A37="",0,SUMIFS(Trades!$I$4:$I$40,Trades!$D$4:$D$40,G$3,Trades!$B$4:$B$40,"&lt;="&amp;$A37))</f>
        <v>0</v>
      </c>
      <c r="S37" s="18" t="n">
        <f aca="false">IF($A37="",0,SUMIFS(Trades!$I$4:$I$40,Trades!$D$4:$D$40,H$3,Trades!$B$4:$B$40,"&lt;="&amp;$A37))</f>
        <v>0</v>
      </c>
      <c r="T37" s="18" t="n">
        <f aca="false">IF($A37="",0,SUMIFS(Trades!$I$4:$I$40,Trades!$D$4:$D$40,I$3,Trades!$B$4:$B$40,"&lt;="&amp;$A37))</f>
        <v>0</v>
      </c>
      <c r="U37" s="18" t="n">
        <f aca="false">IF($A37="",0,SUMIFS(Trades!$I$4:$I$40,Trades!$D$4:$D$40,J$3,Trades!$B$4:$B$40,"&lt;="&amp;$A37))</f>
        <v>0</v>
      </c>
      <c r="V37" s="18" t="n">
        <f aca="false">IF($A37="",0,SUMIFS(Trades!$I$4:$I$40,Trades!$D$4:$D$40,K$3,Trades!$B$4:$B$40,"&lt;="&amp;$A37))</f>
        <v>0</v>
      </c>
      <c r="W37" s="14" t="n">
        <f aca="false">IF($A37="",0,Settings!$B$4+SUMIFS(CashEvents!$E$4:$E$30,CashEvents!$A$4:$A$30,"&lt;="&amp;$A37)+SUMIFS(Trades!$J$4:$J$40,Trades!$B$4:$B$40,"&lt;="&amp;$A37))</f>
        <v>0</v>
      </c>
      <c r="X37" s="14" t="str">
        <f aca="false">IF($A37="","",SUMPRODUCT($B37:$K37,$M37:$V37)+$W37)</f>
        <v/>
      </c>
      <c r="Y37" s="14" t="str">
        <f aca="false">IF(OR($A37="",$A36=""),"",SUMIFS(CashEvents!$E$4:$E$30,CashEvents!$A$4:$A$30,"&gt;"&amp;$A36,CashEvents!$A$4:$A$30,"&lt;="&amp;$A37))</f>
        <v/>
      </c>
      <c r="Z37" s="15" t="str">
        <f aca="false">IF(OR($A37="",$A36=""),"",($X37-$Y37)/$X36-1)</f>
        <v/>
      </c>
      <c r="AA37" s="15" t="str">
        <f aca="false">IF(OR($A37="",$L37="",$L36=""),"",$L37/$L36-1)</f>
        <v/>
      </c>
      <c r="AB37" s="23" t="str">
        <f aca="false">IF($A37="","",$AB36*(1+$Z37))</f>
        <v/>
      </c>
      <c r="AC37" s="23" t="str">
        <f aca="false">IF($A37="","",MAX($AB$4:$AB37))</f>
        <v/>
      </c>
      <c r="AD37" s="15" t="str">
        <f aca="false">IF($A37="","",$AB37/$AC37-1)</f>
        <v/>
      </c>
      <c r="AE37" s="23" t="str">
        <f aca="false">IF($A37="","",$AE36*(1+$AA37))</f>
        <v/>
      </c>
    </row>
    <row r="38" customFormat="false" ht="15" hidden="false" customHeight="false" outlineLevel="0" collapsed="false">
      <c r="M38" s="18" t="n">
        <f aca="false">IF($A38="",0,SUMIFS(Trades!$I$4:$I$40,Trades!$D$4:$D$40,B$3,Trades!$B$4:$B$40,"&lt;="&amp;$A38))</f>
        <v>0</v>
      </c>
      <c r="N38" s="18" t="n">
        <f aca="false">IF($A38="",0,SUMIFS(Trades!$I$4:$I$40,Trades!$D$4:$D$40,C$3,Trades!$B$4:$B$40,"&lt;="&amp;$A38))</f>
        <v>0</v>
      </c>
      <c r="O38" s="18" t="n">
        <f aca="false">IF($A38="",0,SUMIFS(Trades!$I$4:$I$40,Trades!$D$4:$D$40,D$3,Trades!$B$4:$B$40,"&lt;="&amp;$A38))</f>
        <v>0</v>
      </c>
      <c r="P38" s="18" t="n">
        <f aca="false">IF($A38="",0,SUMIFS(Trades!$I$4:$I$40,Trades!$D$4:$D$40,E$3,Trades!$B$4:$B$40,"&lt;="&amp;$A38))</f>
        <v>0</v>
      </c>
      <c r="Q38" s="18" t="n">
        <f aca="false">IF($A38="",0,SUMIFS(Trades!$I$4:$I$40,Trades!$D$4:$D$40,F$3,Trades!$B$4:$B$40,"&lt;="&amp;$A38))</f>
        <v>0</v>
      </c>
      <c r="R38" s="18" t="n">
        <f aca="false">IF($A38="",0,SUMIFS(Trades!$I$4:$I$40,Trades!$D$4:$D$40,G$3,Trades!$B$4:$B$40,"&lt;="&amp;$A38))</f>
        <v>0</v>
      </c>
      <c r="S38" s="18" t="n">
        <f aca="false">IF($A38="",0,SUMIFS(Trades!$I$4:$I$40,Trades!$D$4:$D$40,H$3,Trades!$B$4:$B$40,"&lt;="&amp;$A38))</f>
        <v>0</v>
      </c>
      <c r="T38" s="18" t="n">
        <f aca="false">IF($A38="",0,SUMIFS(Trades!$I$4:$I$40,Trades!$D$4:$D$40,I$3,Trades!$B$4:$B$40,"&lt;="&amp;$A38))</f>
        <v>0</v>
      </c>
      <c r="U38" s="18" t="n">
        <f aca="false">IF($A38="",0,SUMIFS(Trades!$I$4:$I$40,Trades!$D$4:$D$40,J$3,Trades!$B$4:$B$40,"&lt;="&amp;$A38))</f>
        <v>0</v>
      </c>
      <c r="V38" s="18" t="n">
        <f aca="false">IF($A38="",0,SUMIFS(Trades!$I$4:$I$40,Trades!$D$4:$D$40,K$3,Trades!$B$4:$B$40,"&lt;="&amp;$A38))</f>
        <v>0</v>
      </c>
      <c r="W38" s="14" t="n">
        <f aca="false">IF($A38="",0,Settings!$B$4+SUMIFS(CashEvents!$E$4:$E$30,CashEvents!$A$4:$A$30,"&lt;="&amp;$A38)+SUMIFS(Trades!$J$4:$J$40,Trades!$B$4:$B$40,"&lt;="&amp;$A38))</f>
        <v>0</v>
      </c>
      <c r="X38" s="14" t="str">
        <f aca="false">IF($A38="","",SUMPRODUCT($B38:$K38,$M38:$V38)+$W38)</f>
        <v/>
      </c>
      <c r="Y38" s="14" t="str">
        <f aca="false">IF(OR($A38="",$A37=""),"",SUMIFS(CashEvents!$E$4:$E$30,CashEvents!$A$4:$A$30,"&gt;"&amp;$A37,CashEvents!$A$4:$A$30,"&lt;="&amp;$A38))</f>
        <v/>
      </c>
      <c r="Z38" s="15" t="str">
        <f aca="false">IF(OR($A38="",$A37=""),"",($X38-$Y38)/$X37-1)</f>
        <v/>
      </c>
      <c r="AA38" s="15" t="str">
        <f aca="false">IF(OR($A38="",$L38="",$L37=""),"",$L38/$L37-1)</f>
        <v/>
      </c>
      <c r="AB38" s="23" t="str">
        <f aca="false">IF($A38="","",$AB37*(1+$Z38))</f>
        <v/>
      </c>
      <c r="AC38" s="23" t="str">
        <f aca="false">IF($A38="","",MAX($AB$4:$AB38))</f>
        <v/>
      </c>
      <c r="AD38" s="15" t="str">
        <f aca="false">IF($A38="","",$AB38/$AC38-1)</f>
        <v/>
      </c>
      <c r="AE38" s="23" t="str">
        <f aca="false">IF($A38="","",$AE37*(1+$AA38))</f>
        <v/>
      </c>
    </row>
    <row r="39" customFormat="false" ht="15" hidden="false" customHeight="false" outlineLevel="0" collapsed="false">
      <c r="M39" s="18" t="n">
        <f aca="false">IF($A39="",0,SUMIFS(Trades!$I$4:$I$40,Trades!$D$4:$D$40,B$3,Trades!$B$4:$B$40,"&lt;="&amp;$A39))</f>
        <v>0</v>
      </c>
      <c r="N39" s="18" t="n">
        <f aca="false">IF($A39="",0,SUMIFS(Trades!$I$4:$I$40,Trades!$D$4:$D$40,C$3,Trades!$B$4:$B$40,"&lt;="&amp;$A39))</f>
        <v>0</v>
      </c>
      <c r="O39" s="18" t="n">
        <f aca="false">IF($A39="",0,SUMIFS(Trades!$I$4:$I$40,Trades!$D$4:$D$40,D$3,Trades!$B$4:$B$40,"&lt;="&amp;$A39))</f>
        <v>0</v>
      </c>
      <c r="P39" s="18" t="n">
        <f aca="false">IF($A39="",0,SUMIFS(Trades!$I$4:$I$40,Trades!$D$4:$D$40,E$3,Trades!$B$4:$B$40,"&lt;="&amp;$A39))</f>
        <v>0</v>
      </c>
      <c r="Q39" s="18" t="n">
        <f aca="false">IF($A39="",0,SUMIFS(Trades!$I$4:$I$40,Trades!$D$4:$D$40,F$3,Trades!$B$4:$B$40,"&lt;="&amp;$A39))</f>
        <v>0</v>
      </c>
      <c r="R39" s="18" t="n">
        <f aca="false">IF($A39="",0,SUMIFS(Trades!$I$4:$I$40,Trades!$D$4:$D$40,G$3,Trades!$B$4:$B$40,"&lt;="&amp;$A39))</f>
        <v>0</v>
      </c>
      <c r="S39" s="18" t="n">
        <f aca="false">IF($A39="",0,SUMIFS(Trades!$I$4:$I$40,Trades!$D$4:$D$40,H$3,Trades!$B$4:$B$40,"&lt;="&amp;$A39))</f>
        <v>0</v>
      </c>
      <c r="T39" s="18" t="n">
        <f aca="false">IF($A39="",0,SUMIFS(Trades!$I$4:$I$40,Trades!$D$4:$D$40,I$3,Trades!$B$4:$B$40,"&lt;="&amp;$A39))</f>
        <v>0</v>
      </c>
      <c r="U39" s="18" t="n">
        <f aca="false">IF($A39="",0,SUMIFS(Trades!$I$4:$I$40,Trades!$D$4:$D$40,J$3,Trades!$B$4:$B$40,"&lt;="&amp;$A39))</f>
        <v>0</v>
      </c>
      <c r="V39" s="18" t="n">
        <f aca="false">IF($A39="",0,SUMIFS(Trades!$I$4:$I$40,Trades!$D$4:$D$40,K$3,Trades!$B$4:$B$40,"&lt;="&amp;$A39))</f>
        <v>0</v>
      </c>
      <c r="W39" s="14" t="n">
        <f aca="false">IF($A39="",0,Settings!$B$4+SUMIFS(CashEvents!$E$4:$E$30,CashEvents!$A$4:$A$30,"&lt;="&amp;$A39)+SUMIFS(Trades!$J$4:$J$40,Trades!$B$4:$B$40,"&lt;="&amp;$A39))</f>
        <v>0</v>
      </c>
      <c r="X39" s="14" t="str">
        <f aca="false">IF($A39="","",SUMPRODUCT($B39:$K39,$M39:$V39)+$W39)</f>
        <v/>
      </c>
      <c r="Y39" s="14" t="str">
        <f aca="false">IF(OR($A39="",$A38=""),"",SUMIFS(CashEvents!$E$4:$E$30,CashEvents!$A$4:$A$30,"&gt;"&amp;$A38,CashEvents!$A$4:$A$30,"&lt;="&amp;$A39))</f>
        <v/>
      </c>
      <c r="Z39" s="15" t="str">
        <f aca="false">IF(OR($A39="",$A38=""),"",($X39-$Y39)/$X38-1)</f>
        <v/>
      </c>
      <c r="AA39" s="15" t="str">
        <f aca="false">IF(OR($A39="",$L39="",$L38=""),"",$L39/$L38-1)</f>
        <v/>
      </c>
      <c r="AB39" s="23" t="str">
        <f aca="false">IF($A39="","",$AB38*(1+$Z39))</f>
        <v/>
      </c>
      <c r="AC39" s="23" t="str">
        <f aca="false">IF($A39="","",MAX($AB$4:$AB39))</f>
        <v/>
      </c>
      <c r="AD39" s="15" t="str">
        <f aca="false">IF($A39="","",$AB39/$AC39-1)</f>
        <v/>
      </c>
      <c r="AE39" s="23" t="str">
        <f aca="false">IF($A39="","",$AE38*(1+$AA39))</f>
        <v/>
      </c>
    </row>
    <row r="40" customFormat="false" ht="15" hidden="false" customHeight="false" outlineLevel="0" collapsed="false">
      <c r="M40" s="18" t="n">
        <f aca="false">IF($A40="",0,SUMIFS(Trades!$I$4:$I$40,Trades!$D$4:$D$40,B$3,Trades!$B$4:$B$40,"&lt;="&amp;$A40))</f>
        <v>0</v>
      </c>
      <c r="N40" s="18" t="n">
        <f aca="false">IF($A40="",0,SUMIFS(Trades!$I$4:$I$40,Trades!$D$4:$D$40,C$3,Trades!$B$4:$B$40,"&lt;="&amp;$A40))</f>
        <v>0</v>
      </c>
      <c r="O40" s="18" t="n">
        <f aca="false">IF($A40="",0,SUMIFS(Trades!$I$4:$I$40,Trades!$D$4:$D$40,D$3,Trades!$B$4:$B$40,"&lt;="&amp;$A40))</f>
        <v>0</v>
      </c>
      <c r="P40" s="18" t="n">
        <f aca="false">IF($A40="",0,SUMIFS(Trades!$I$4:$I$40,Trades!$D$4:$D$40,E$3,Trades!$B$4:$B$40,"&lt;="&amp;$A40))</f>
        <v>0</v>
      </c>
      <c r="Q40" s="18" t="n">
        <f aca="false">IF($A40="",0,SUMIFS(Trades!$I$4:$I$40,Trades!$D$4:$D$40,F$3,Trades!$B$4:$B$40,"&lt;="&amp;$A40))</f>
        <v>0</v>
      </c>
      <c r="R40" s="18" t="n">
        <f aca="false">IF($A40="",0,SUMIFS(Trades!$I$4:$I$40,Trades!$D$4:$D$40,G$3,Trades!$B$4:$B$40,"&lt;="&amp;$A40))</f>
        <v>0</v>
      </c>
      <c r="S40" s="18" t="n">
        <f aca="false">IF($A40="",0,SUMIFS(Trades!$I$4:$I$40,Trades!$D$4:$D$40,H$3,Trades!$B$4:$B$40,"&lt;="&amp;$A40))</f>
        <v>0</v>
      </c>
      <c r="T40" s="18" t="n">
        <f aca="false">IF($A40="",0,SUMIFS(Trades!$I$4:$I$40,Trades!$D$4:$D$40,I$3,Trades!$B$4:$B$40,"&lt;="&amp;$A40))</f>
        <v>0</v>
      </c>
      <c r="U40" s="18" t="n">
        <f aca="false">IF($A40="",0,SUMIFS(Trades!$I$4:$I$40,Trades!$D$4:$D$40,J$3,Trades!$B$4:$B$40,"&lt;="&amp;$A40))</f>
        <v>0</v>
      </c>
      <c r="V40" s="18" t="n">
        <f aca="false">IF($A40="",0,SUMIFS(Trades!$I$4:$I$40,Trades!$D$4:$D$40,K$3,Trades!$B$4:$B$40,"&lt;="&amp;$A40))</f>
        <v>0</v>
      </c>
      <c r="W40" s="14" t="n">
        <f aca="false">IF($A40="",0,Settings!$B$4+SUMIFS(CashEvents!$E$4:$E$30,CashEvents!$A$4:$A$30,"&lt;="&amp;$A40)+SUMIFS(Trades!$J$4:$J$40,Trades!$B$4:$B$40,"&lt;="&amp;$A40))</f>
        <v>0</v>
      </c>
      <c r="X40" s="14" t="str">
        <f aca="false">IF($A40="","",SUMPRODUCT($B40:$K40,$M40:$V40)+$W40)</f>
        <v/>
      </c>
      <c r="Y40" s="14" t="str">
        <f aca="false">IF(OR($A40="",$A39=""),"",SUMIFS(CashEvents!$E$4:$E$30,CashEvents!$A$4:$A$30,"&gt;"&amp;$A39,CashEvents!$A$4:$A$30,"&lt;="&amp;$A40))</f>
        <v/>
      </c>
      <c r="Z40" s="15" t="str">
        <f aca="false">IF(OR($A40="",$A39=""),"",($X40-$Y40)/$X39-1)</f>
        <v/>
      </c>
      <c r="AA40" s="15" t="str">
        <f aca="false">IF(OR($A40="",$L40="",$L39=""),"",$L40/$L39-1)</f>
        <v/>
      </c>
      <c r="AB40" s="23" t="str">
        <f aca="false">IF($A40="","",$AB39*(1+$Z40))</f>
        <v/>
      </c>
      <c r="AC40" s="23" t="str">
        <f aca="false">IF($A40="","",MAX($AB$4:$AB40))</f>
        <v/>
      </c>
      <c r="AD40" s="15" t="str">
        <f aca="false">IF($A40="","",$AB40/$AC40-1)</f>
        <v/>
      </c>
      <c r="AE40" s="23" t="str">
        <f aca="false">IF($A40="","",$AE39*(1+$AA40))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FC9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5" t="s">
        <v>148</v>
      </c>
    </row>
    <row r="4" customFormat="false" ht="15" hidden="false" customHeight="false" outlineLevel="0" collapsed="false">
      <c r="A4" s="3" t="s">
        <v>139</v>
      </c>
      <c r="B4" s="14" t="n">
        <f aca="false">$E$25+$B$5</f>
        <v>28846</v>
      </c>
    </row>
    <row r="5" customFormat="false" ht="15" hidden="false" customHeight="false" outlineLevel="0" collapsed="false">
      <c r="A5" s="3" t="s">
        <v>149</v>
      </c>
      <c r="B5" s="14" t="n">
        <f aca="false">Settings!$B$4+SUM(CashEvents!$E$4:$E$30)+SUM(Trades!$J$4:$J$40)</f>
        <v>13590</v>
      </c>
    </row>
    <row r="6" customFormat="false" ht="15" hidden="false" customHeight="false" outlineLevel="0" collapsed="false">
      <c r="A6" s="3" t="s">
        <v>150</v>
      </c>
      <c r="B6" s="14" t="n">
        <f aca="false">$F$25</f>
        <v>14260</v>
      </c>
    </row>
    <row r="7" customFormat="false" ht="15" hidden="false" customHeight="false" outlineLevel="0" collapsed="false">
      <c r="A7" s="3" t="s">
        <v>151</v>
      </c>
      <c r="B7" s="14" t="n">
        <f aca="false">$E$25-$F$25</f>
        <v>996</v>
      </c>
    </row>
    <row r="8" customFormat="false" ht="15" hidden="false" customHeight="false" outlineLevel="0" collapsed="false">
      <c r="A8" s="3" t="s">
        <v>100</v>
      </c>
      <c r="B8" s="14" t="n">
        <f aca="false">SUM(Trades!$L$4:$L$40)</f>
        <v>-150</v>
      </c>
    </row>
    <row r="9" customFormat="false" ht="15" hidden="false" customHeight="false" outlineLevel="0" collapsed="false">
      <c r="A9" s="3" t="s">
        <v>152</v>
      </c>
      <c r="B9" s="14" t="n">
        <f aca="false">Settings!$B$4+SUM(CashEvents!$E$4:$E$30)</f>
        <v>28000</v>
      </c>
    </row>
    <row r="10" customFormat="false" ht="15" hidden="false" customHeight="false" outlineLevel="0" collapsed="false">
      <c r="A10" s="3" t="s">
        <v>153</v>
      </c>
      <c r="B10" s="14" t="n">
        <f aca="false">$B$4-$B$9</f>
        <v>846</v>
      </c>
    </row>
    <row r="11" customFormat="false" ht="15" hidden="false" customHeight="false" outlineLevel="0" collapsed="false">
      <c r="A11" s="3" t="s">
        <v>154</v>
      </c>
      <c r="B11" s="15" t="n">
        <f aca="false">IFERROR($B$10/$B$9,"")</f>
        <v>0.0302142857142857</v>
      </c>
    </row>
    <row r="12" customFormat="false" ht="15" hidden="false" customHeight="false" outlineLevel="0" collapsed="false">
      <c r="A12" s="3" t="s">
        <v>155</v>
      </c>
      <c r="B12" s="14" t="n">
        <f aca="false">SUM(Decisions!$L$4:$L$20)</f>
        <v>846</v>
      </c>
    </row>
    <row r="14" customFormat="false" ht="23.85" hidden="false" customHeight="false" outlineLevel="0" collapsed="false">
      <c r="A14" s="10" t="s">
        <v>92</v>
      </c>
      <c r="B14" s="10" t="s">
        <v>94</v>
      </c>
      <c r="C14" s="10" t="s">
        <v>156</v>
      </c>
      <c r="D14" s="10" t="s">
        <v>95</v>
      </c>
      <c r="E14" s="10" t="s">
        <v>157</v>
      </c>
      <c r="F14" s="10" t="s">
        <v>158</v>
      </c>
      <c r="G14" s="10" t="s">
        <v>151</v>
      </c>
      <c r="H14" s="10" t="s">
        <v>159</v>
      </c>
      <c r="I14" s="10" t="s">
        <v>126</v>
      </c>
    </row>
    <row r="15" customFormat="false" ht="15" hidden="false" customHeight="false" outlineLevel="0" collapsed="false">
      <c r="A15" s="7" t="s">
        <v>102</v>
      </c>
      <c r="B15" s="18" t="n">
        <f aca="false">IF($A15="","",SUMIFS(Trades!$I$4:$I$40,Trades!$D$4:$D$40,$A15))</f>
        <v>20</v>
      </c>
      <c r="C15" s="19" t="n">
        <f aca="false">IF($A15="","",IFERROR(SUMPRODUCT((Trades!$D$4:$D$40=$A15)*(Trades!$E$4:$E$40="Buy")*(Trades!$F$4:$F$40*Trades!$G$4:$G$40+Trades!$H$4:$H$40))/SUMPRODUCT((Trades!$D$4:$D$40=$A15)*(Trades!$E$4:$E$40="Buy")*Trades!$F$4:$F$40),0))</f>
        <v>480</v>
      </c>
      <c r="D15" s="19" t="n">
        <f aca="false">IF($A15="","",SUMIFS(Prices!$B$4:$B$13,Prices!$A$4:$A$13,$A15))</f>
        <v>510</v>
      </c>
      <c r="E15" s="14" t="n">
        <f aca="false">IF($A15="","",$B15*$D15)</f>
        <v>10200</v>
      </c>
      <c r="F15" s="14" t="n">
        <f aca="false">IF($A15="","",$B15*$C15)</f>
        <v>9600</v>
      </c>
      <c r="G15" s="14" t="n">
        <f aca="false">IF($A15="","",$E15-$F15)</f>
        <v>600</v>
      </c>
      <c r="H15" s="15" t="n">
        <f aca="false">IF($A15="","",IFERROR($E15/$B$4,""))</f>
        <v>0.353601885876725</v>
      </c>
      <c r="I15" s="24" t="str">
        <f aca="false">IF($A15="","",IFERROR(INDEX(Prices!$C$4:$C$13,MATCH($A15,Prices!$A$4:$A$13,0)),""))</f>
        <v>ETF / Fund</v>
      </c>
    </row>
    <row r="16" customFormat="false" ht="15" hidden="false" customHeight="false" outlineLevel="0" collapsed="false">
      <c r="A16" s="7" t="s">
        <v>105</v>
      </c>
      <c r="B16" s="18" t="n">
        <f aca="false">IF($A16="","",SUMIFS(Trades!$I$4:$I$40,Trades!$D$4:$D$40,$A16))</f>
        <v>10</v>
      </c>
      <c r="C16" s="19" t="n">
        <f aca="false">IF($A16="","",IFERROR(SUMPRODUCT((Trades!$D$4:$D$40=$A16)*(Trades!$E$4:$E$40="Buy")*(Trades!$F$4:$F$40*Trades!$G$4:$G$40+Trades!$H$4:$H$40))/SUMPRODUCT((Trades!$D$4:$D$40=$A16)*(Trades!$E$4:$E$40="Buy")*Trades!$F$4:$F$40),0))</f>
        <v>220</v>
      </c>
      <c r="D16" s="19" t="n">
        <f aca="false">IF($A16="","",SUMIFS(Prices!$B$4:$B$13,Prices!$A$4:$A$13,$A16))</f>
        <v>235</v>
      </c>
      <c r="E16" s="14" t="n">
        <f aca="false">IF($A16="","",$B16*$D16)</f>
        <v>2350</v>
      </c>
      <c r="F16" s="14" t="n">
        <f aca="false">IF($A16="","",$B16*$C16)</f>
        <v>2200</v>
      </c>
      <c r="G16" s="14" t="n">
        <f aca="false">IF($A16="","",$E16-$F16)</f>
        <v>150</v>
      </c>
      <c r="H16" s="15" t="n">
        <f aca="false">IF($A16="","",IFERROR($E16/$B$4,""))</f>
        <v>0.0814671011578728</v>
      </c>
      <c r="I16" s="24" t="str">
        <f aca="false">IF($A16="","",IFERROR(INDEX(Prices!$C$4:$C$13,MATCH($A16,Prices!$A$4:$A$13,0)),""))</f>
        <v>Technology</v>
      </c>
    </row>
    <row r="17" customFormat="false" ht="15" hidden="false" customHeight="false" outlineLevel="0" collapsed="false">
      <c r="A17" s="7" t="s">
        <v>111</v>
      </c>
      <c r="B17" s="18" t="n">
        <f aca="false">IF($A17="","",SUMIFS(Trades!$I$4:$I$40,Trades!$D$4:$D$40,$A17))</f>
        <v>10</v>
      </c>
      <c r="C17" s="19" t="n">
        <f aca="false">IF($A17="","",IFERROR(SUMPRODUCT((Trades!$D$4:$D$40=$A17)*(Trades!$E$4:$E$40="Buy")*(Trades!$F$4:$F$40*Trades!$G$4:$G$40+Trades!$H$4:$H$40))/SUMPRODUCT((Trades!$D$4:$D$40=$A17)*(Trades!$E$4:$E$40="Buy")*Trades!$F$4:$F$40),0))</f>
        <v>120</v>
      </c>
      <c r="D17" s="19" t="n">
        <f aca="false">IF($A17="","",SUMIFS(Prices!$B$4:$B$13,Prices!$A$4:$A$13,$A17))</f>
        <v>141</v>
      </c>
      <c r="E17" s="14" t="n">
        <f aca="false">IF($A17="","",$B17*$D17)</f>
        <v>1410</v>
      </c>
      <c r="F17" s="14" t="n">
        <f aca="false">IF($A17="","",$B17*$C17)</f>
        <v>1200</v>
      </c>
      <c r="G17" s="14" t="n">
        <f aca="false">IF($A17="","",$E17-$F17)</f>
        <v>210</v>
      </c>
      <c r="H17" s="15" t="n">
        <f aca="false">IF($A17="","",IFERROR($E17/$B$4,""))</f>
        <v>0.0488802606947237</v>
      </c>
      <c r="I17" s="24" t="str">
        <f aca="false">IF($A17="","",IFERROR(INDEX(Prices!$C$4:$C$13,MATCH($A17,Prices!$A$4:$A$13,0)),""))</f>
        <v>Semiconductors</v>
      </c>
    </row>
    <row r="18" customFormat="false" ht="15" hidden="false" customHeight="false" outlineLevel="0" collapsed="false">
      <c r="A18" s="7" t="s">
        <v>114</v>
      </c>
      <c r="B18" s="18" t="n">
        <f aca="false">IF($A18="","",SUMIFS(Trades!$I$4:$I$40,Trades!$D$4:$D$40,$A18))</f>
        <v>3</v>
      </c>
      <c r="C18" s="19" t="n">
        <f aca="false">IF($A18="","",IFERROR(SUMPRODUCT((Trades!$D$4:$D$40=$A18)*(Trades!$E$4:$E$40="Buy")*(Trades!$F$4:$F$40*Trades!$G$4:$G$40+Trades!$H$4:$H$40))/SUMPRODUCT((Trades!$D$4:$D$40=$A18)*(Trades!$E$4:$E$40="Buy")*Trades!$F$4:$F$40),0))</f>
        <v>420</v>
      </c>
      <c r="D18" s="19" t="n">
        <f aca="false">IF($A18="","",SUMIFS(Prices!$B$4:$B$13,Prices!$A$4:$A$13,$A18))</f>
        <v>432</v>
      </c>
      <c r="E18" s="14" t="n">
        <f aca="false">IF($A18="","",$B18*$D18)</f>
        <v>1296</v>
      </c>
      <c r="F18" s="14" t="n">
        <f aca="false">IF($A18="","",$B18*$C18)</f>
        <v>1260</v>
      </c>
      <c r="G18" s="14" t="n">
        <f aca="false">IF($A18="","",$E18-$F18)</f>
        <v>36</v>
      </c>
      <c r="H18" s="15" t="n">
        <f aca="false">IF($A18="","",IFERROR($E18/$B$4,""))</f>
        <v>0.044928239617278</v>
      </c>
      <c r="I18" s="24" t="str">
        <f aca="false">IF($A18="","",IFERROR(INDEX(Prices!$C$4:$C$13,MATCH($A18,Prices!$A$4:$A$13,0)),""))</f>
        <v>Software</v>
      </c>
    </row>
    <row r="19" customFormat="false" ht="15" hidden="false" customHeight="false" outlineLevel="0" collapsed="false">
      <c r="A19" s="7" t="s">
        <v>107</v>
      </c>
      <c r="B19" s="18" t="n">
        <f aca="false">IF($A19="","",SUMIFS(Trades!$I$4:$I$40,Trades!$D$4:$D$40,$A19))</f>
        <v>0</v>
      </c>
      <c r="C19" s="19" t="n">
        <f aca="false">IF($A19="","",IFERROR(SUMPRODUCT((Trades!$D$4:$D$40=$A19)*(Trades!$E$4:$E$40="Buy")*(Trades!$F$4:$F$40*Trades!$G$4:$G$40+Trades!$H$4:$H$40))/SUMPRODUCT((Trades!$D$4:$D$40=$A19)*(Trades!$E$4:$E$40="Buy")*Trades!$F$4:$F$40),0))</f>
        <v>35</v>
      </c>
      <c r="D19" s="19" t="n">
        <f aca="false">IF($A19="","",SUMIFS(Prices!$B$4:$B$13,Prices!$A$4:$A$13,$A19))</f>
        <v>24</v>
      </c>
      <c r="E19" s="14" t="n">
        <f aca="false">IF($A19="","",$B19*$D19)</f>
        <v>0</v>
      </c>
      <c r="F19" s="14" t="n">
        <f aca="false">IF($A19="","",$B19*$C19)</f>
        <v>0</v>
      </c>
      <c r="G19" s="14" t="n">
        <f aca="false">IF($A19="","",$E19-$F19)</f>
        <v>0</v>
      </c>
      <c r="H19" s="15" t="n">
        <f aca="false">IF($A19="","",IFERROR($E19/$B$4,""))</f>
        <v>0</v>
      </c>
      <c r="I19" s="24" t="str">
        <f aca="false">IF($A19="","",IFERROR(INDEX(Prices!$C$4:$C$13,MATCH($A19,Prices!$A$4:$A$13,0)),""))</f>
        <v>Semiconductors</v>
      </c>
    </row>
    <row r="20" customFormat="false" ht="15" hidden="false" customHeight="false" outlineLevel="0" collapsed="false">
      <c r="B20" s="18" t="str">
        <f aca="false">IF($A20="","",SUMIFS(Trades!$I$4:$I$40,Trades!$D$4:$D$40,$A20))</f>
        <v/>
      </c>
      <c r="C20" s="19" t="str">
        <f aca="false">IF($A20="","",IFERROR(SUMPRODUCT((Trades!$D$4:$D$40=$A20)*(Trades!$E$4:$E$40="Buy")*(Trades!$F$4:$F$40*Trades!$G$4:$G$40+Trades!$H$4:$H$40))/SUMPRODUCT((Trades!$D$4:$D$40=$A20)*(Trades!$E$4:$E$40="Buy")*Trades!$F$4:$F$40),0))</f>
        <v/>
      </c>
      <c r="D20" s="19" t="str">
        <f aca="false">IF($A20="","",SUMIFS(Prices!$B$4:$B$13,Prices!$A$4:$A$13,$A20))</f>
        <v/>
      </c>
      <c r="E20" s="14" t="str">
        <f aca="false">IF($A20="","",$B20*$D20)</f>
        <v/>
      </c>
      <c r="F20" s="14" t="str">
        <f aca="false">IF($A20="","",$B20*$C20)</f>
        <v/>
      </c>
      <c r="G20" s="14" t="str">
        <f aca="false">IF($A20="","",$E20-$F20)</f>
        <v/>
      </c>
      <c r="H20" s="15" t="str">
        <f aca="false">IF($A20="","",IFERROR($E20/$B$4,""))</f>
        <v/>
      </c>
      <c r="I20" s="24" t="str">
        <f aca="false">IF($A20="","",IFERROR(INDEX(Prices!$C$4:$C$13,MATCH($A20,Prices!$A$4:$A$13,0)),""))</f>
        <v/>
      </c>
    </row>
    <row r="21" customFormat="false" ht="15" hidden="false" customHeight="false" outlineLevel="0" collapsed="false">
      <c r="B21" s="18" t="str">
        <f aca="false">IF($A21="","",SUMIFS(Trades!$I$4:$I$40,Trades!$D$4:$D$40,$A21))</f>
        <v/>
      </c>
      <c r="C21" s="19" t="str">
        <f aca="false">IF($A21="","",IFERROR(SUMPRODUCT((Trades!$D$4:$D$40=$A21)*(Trades!$E$4:$E$40="Buy")*(Trades!$F$4:$F$40*Trades!$G$4:$G$40+Trades!$H$4:$H$40))/SUMPRODUCT((Trades!$D$4:$D$40=$A21)*(Trades!$E$4:$E$40="Buy")*Trades!$F$4:$F$40),0))</f>
        <v/>
      </c>
      <c r="D21" s="19" t="str">
        <f aca="false">IF($A21="","",SUMIFS(Prices!$B$4:$B$13,Prices!$A$4:$A$13,$A21))</f>
        <v/>
      </c>
      <c r="E21" s="14" t="str">
        <f aca="false">IF($A21="","",$B21*$D21)</f>
        <v/>
      </c>
      <c r="F21" s="14" t="str">
        <f aca="false">IF($A21="","",$B21*$C21)</f>
        <v/>
      </c>
      <c r="G21" s="14" t="str">
        <f aca="false">IF($A21="","",$E21-$F21)</f>
        <v/>
      </c>
      <c r="H21" s="15" t="str">
        <f aca="false">IF($A21="","",IFERROR($E21/$B$4,""))</f>
        <v/>
      </c>
      <c r="I21" s="24" t="str">
        <f aca="false">IF($A21="","",IFERROR(INDEX(Prices!$C$4:$C$13,MATCH($A21,Prices!$A$4:$A$13,0)),""))</f>
        <v/>
      </c>
    </row>
    <row r="22" customFormat="false" ht="15" hidden="false" customHeight="false" outlineLevel="0" collapsed="false">
      <c r="B22" s="18" t="str">
        <f aca="false">IF($A22="","",SUMIFS(Trades!$I$4:$I$40,Trades!$D$4:$D$40,$A22))</f>
        <v/>
      </c>
      <c r="C22" s="19" t="str">
        <f aca="false">IF($A22="","",IFERROR(SUMPRODUCT((Trades!$D$4:$D$40=$A22)*(Trades!$E$4:$E$40="Buy")*(Trades!$F$4:$F$40*Trades!$G$4:$G$40+Trades!$H$4:$H$40))/SUMPRODUCT((Trades!$D$4:$D$40=$A22)*(Trades!$E$4:$E$40="Buy")*Trades!$F$4:$F$40),0))</f>
        <v/>
      </c>
      <c r="D22" s="19" t="str">
        <f aca="false">IF($A22="","",SUMIFS(Prices!$B$4:$B$13,Prices!$A$4:$A$13,$A22))</f>
        <v/>
      </c>
      <c r="E22" s="14" t="str">
        <f aca="false">IF($A22="","",$B22*$D22)</f>
        <v/>
      </c>
      <c r="F22" s="14" t="str">
        <f aca="false">IF($A22="","",$B22*$C22)</f>
        <v/>
      </c>
      <c r="G22" s="14" t="str">
        <f aca="false">IF($A22="","",$E22-$F22)</f>
        <v/>
      </c>
      <c r="H22" s="15" t="str">
        <f aca="false">IF($A22="","",IFERROR($E22/$B$4,""))</f>
        <v/>
      </c>
      <c r="I22" s="24" t="str">
        <f aca="false">IF($A22="","",IFERROR(INDEX(Prices!$C$4:$C$13,MATCH($A22,Prices!$A$4:$A$13,0)),""))</f>
        <v/>
      </c>
    </row>
    <row r="23" customFormat="false" ht="15" hidden="false" customHeight="false" outlineLevel="0" collapsed="false">
      <c r="B23" s="18" t="str">
        <f aca="false">IF($A23="","",SUMIFS(Trades!$I$4:$I$40,Trades!$D$4:$D$40,$A23))</f>
        <v/>
      </c>
      <c r="C23" s="19" t="str">
        <f aca="false">IF($A23="","",IFERROR(SUMPRODUCT((Trades!$D$4:$D$40=$A23)*(Trades!$E$4:$E$40="Buy")*(Trades!$F$4:$F$40*Trades!$G$4:$G$40+Trades!$H$4:$H$40))/SUMPRODUCT((Trades!$D$4:$D$40=$A23)*(Trades!$E$4:$E$40="Buy")*Trades!$F$4:$F$40),0))</f>
        <v/>
      </c>
      <c r="D23" s="19" t="str">
        <f aca="false">IF($A23="","",SUMIFS(Prices!$B$4:$B$13,Prices!$A$4:$A$13,$A23))</f>
        <v/>
      </c>
      <c r="E23" s="14" t="str">
        <f aca="false">IF($A23="","",$B23*$D23)</f>
        <v/>
      </c>
      <c r="F23" s="14" t="str">
        <f aca="false">IF($A23="","",$B23*$C23)</f>
        <v/>
      </c>
      <c r="G23" s="14" t="str">
        <f aca="false">IF($A23="","",$E23-$F23)</f>
        <v/>
      </c>
      <c r="H23" s="15" t="str">
        <f aca="false">IF($A23="","",IFERROR($E23/$B$4,""))</f>
        <v/>
      </c>
      <c r="I23" s="24" t="str">
        <f aca="false">IF($A23="","",IFERROR(INDEX(Prices!$C$4:$C$13,MATCH($A23,Prices!$A$4:$A$13,0)),""))</f>
        <v/>
      </c>
    </row>
    <row r="24" customFormat="false" ht="15" hidden="false" customHeight="false" outlineLevel="0" collapsed="false">
      <c r="B24" s="18" t="str">
        <f aca="false">IF($A24="","",SUMIFS(Trades!$I$4:$I$40,Trades!$D$4:$D$40,$A24))</f>
        <v/>
      </c>
      <c r="C24" s="19" t="str">
        <f aca="false">IF($A24="","",IFERROR(SUMPRODUCT((Trades!$D$4:$D$40=$A24)*(Trades!$E$4:$E$40="Buy")*(Trades!$F$4:$F$40*Trades!$G$4:$G$40+Trades!$H$4:$H$40))/SUMPRODUCT((Trades!$D$4:$D$40=$A24)*(Trades!$E$4:$E$40="Buy")*Trades!$F$4:$F$40),0))</f>
        <v/>
      </c>
      <c r="D24" s="19" t="str">
        <f aca="false">IF($A24="","",SUMIFS(Prices!$B$4:$B$13,Prices!$A$4:$A$13,$A24))</f>
        <v/>
      </c>
      <c r="E24" s="14" t="str">
        <f aca="false">IF($A24="","",$B24*$D24)</f>
        <v/>
      </c>
      <c r="F24" s="14" t="str">
        <f aca="false">IF($A24="","",$B24*$C24)</f>
        <v/>
      </c>
      <c r="G24" s="14" t="str">
        <f aca="false">IF($A24="","",$E24-$F24)</f>
        <v/>
      </c>
      <c r="H24" s="15" t="str">
        <f aca="false">IF($A24="","",IFERROR($E24/$B$4,""))</f>
        <v/>
      </c>
      <c r="I24" s="24" t="str">
        <f aca="false">IF($A24="","",IFERROR(INDEX(Prices!$C$4:$C$13,MATCH($A24,Prices!$A$4:$A$13,0)),""))</f>
        <v/>
      </c>
    </row>
    <row r="25" customFormat="false" ht="15" hidden="false" customHeight="false" outlineLevel="0" collapsed="false">
      <c r="A25" s="3" t="s">
        <v>160</v>
      </c>
      <c r="E25" s="25" t="n">
        <f aca="false">SUM(E15:E24)</f>
        <v>15256</v>
      </c>
      <c r="F25" s="25" t="n">
        <f aca="false">SUM(F15:F24)</f>
        <v>14260</v>
      </c>
    </row>
    <row r="26" customFormat="false" ht="15" hidden="false" customHeight="false" outlineLevel="0" collapsed="false">
      <c r="A26" s="3" t="s">
        <v>161</v>
      </c>
      <c r="E26" s="14" t="n">
        <f aca="false">$B$5</f>
        <v>13590</v>
      </c>
      <c r="H26" s="15" t="n">
        <f aca="false">IFERROR($B$5/$B$4,"")</f>
        <v>0.471122512653401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5" t="s">
        <v>163</v>
      </c>
    </row>
    <row r="3" customFormat="false" ht="15" hidden="false" customHeight="false" outlineLevel="0" collapsed="false">
      <c r="A3" s="2" t="s">
        <v>164</v>
      </c>
    </row>
    <row r="4" customFormat="false" ht="15" hidden="false" customHeight="false" outlineLevel="0" collapsed="false">
      <c r="A4" s="3" t="s">
        <v>165</v>
      </c>
      <c r="B4" s="26" t="n">
        <f aca="false">COUNT(Snapshots!$Z$5:$Z$40)</f>
        <v>6</v>
      </c>
      <c r="C4" s="5" t="s">
        <v>166</v>
      </c>
    </row>
    <row r="5" customFormat="false" ht="15" hidden="false" customHeight="false" outlineLevel="0" collapsed="false">
      <c r="A5" s="3" t="s">
        <v>167</v>
      </c>
      <c r="B5" s="26" t="n">
        <f aca="false">COUNT(Snapshots!$A$4:$A$40)</f>
        <v>7</v>
      </c>
      <c r="C5" s="5"/>
    </row>
    <row r="6" customFormat="false" ht="15" hidden="false" customHeight="false" outlineLevel="0" collapsed="false">
      <c r="A6" s="3" t="s">
        <v>168</v>
      </c>
      <c r="B6" s="26" t="n">
        <f aca="false">IF($B$4=0,"",INDEX(Snapshots!$A$4:$A$40,$B$5)-Snapshots!$A$4)</f>
        <v>74</v>
      </c>
      <c r="C6" s="5" t="s">
        <v>169</v>
      </c>
    </row>
    <row r="7" customFormat="false" ht="15" hidden="false" customHeight="false" outlineLevel="0" collapsed="false">
      <c r="A7" s="3" t="s">
        <v>170</v>
      </c>
      <c r="B7" s="27" t="n">
        <f aca="false">IF($B$4=0,"",$B$4/($B$6/365.25))</f>
        <v>29.6148648648649</v>
      </c>
      <c r="C7" s="5" t="s">
        <v>171</v>
      </c>
    </row>
    <row r="8" customFormat="false" ht="15" hidden="false" customHeight="false" outlineLevel="0" collapsed="false">
      <c r="A8" s="3" t="s">
        <v>172</v>
      </c>
      <c r="B8" s="28" t="n">
        <f aca="true">IF($B$4=0,"",AVERAGE(OFFSET(Snapshots!$Z$5,0,0,$B$4,1)))</f>
        <v>0.00489872540119276</v>
      </c>
      <c r="C8" s="5"/>
    </row>
    <row r="9" customFormat="false" ht="15" hidden="false" customHeight="false" outlineLevel="0" collapsed="false">
      <c r="A9" s="3" t="s">
        <v>173</v>
      </c>
      <c r="B9" s="28" t="n">
        <f aca="true">IF($B$4&lt;2,"",STDEV(OFFSET(Snapshots!$Z$5,0,0,$B$4,1)))</f>
        <v>0.00346050286629715</v>
      </c>
      <c r="C9" s="5"/>
    </row>
    <row r="10" customFormat="false" ht="15" hidden="false" customHeight="false" outlineLevel="0" collapsed="false">
      <c r="A10" s="3" t="s">
        <v>174</v>
      </c>
      <c r="B10" s="15" t="n">
        <f aca="false">IF($B$4=0,"",INDEX(Snapshots!$AB$4:$AB$40,$B$5)^(365.25/$B$6)-1)</f>
        <v>0.15554779887331</v>
      </c>
      <c r="C10" s="5" t="s">
        <v>175</v>
      </c>
    </row>
    <row r="11" customFormat="false" ht="15" hidden="false" customHeight="false" outlineLevel="0" collapsed="false">
      <c r="A11" s="3" t="s">
        <v>176</v>
      </c>
      <c r="B11" s="15" t="n">
        <f aca="false">IF($B$9="","",$B$9*SQRT($B$7))</f>
        <v>0.018831897900682</v>
      </c>
      <c r="C11" s="5" t="s">
        <v>177</v>
      </c>
    </row>
    <row r="12" customFormat="false" ht="15" hidden="false" customHeight="false" outlineLevel="0" collapsed="false">
      <c r="A12" s="3" t="s">
        <v>178</v>
      </c>
      <c r="B12" s="23" t="n">
        <f aca="false">IF(OR($B$9="",$B$9=0),"",($B$8-Settings!$B$6/$B$7)/$B$9*SQRT($B$7))</f>
        <v>5.57963362591292</v>
      </c>
      <c r="C12" s="5" t="s">
        <v>179</v>
      </c>
    </row>
    <row r="13" customFormat="false" ht="15" hidden="false" customHeight="false" outlineLevel="0" collapsed="false">
      <c r="A13" s="3" t="s">
        <v>180</v>
      </c>
      <c r="B13" s="15" t="n">
        <f aca="false">IF($B$4=0,"",MIN(Snapshots!$AD$5:$AD$40))</f>
        <v>-0.000397930760047793</v>
      </c>
      <c r="C13" s="5" t="s">
        <v>181</v>
      </c>
    </row>
    <row r="14" customFormat="false" ht="15" hidden="false" customHeight="false" outlineLevel="0" collapsed="false">
      <c r="A14" s="3" t="s">
        <v>182</v>
      </c>
      <c r="B14" s="23" t="n">
        <f aca="true">IF($B$4&lt;2,"",IFERROR(SLOPE(OFFSET(Snapshots!$Z$5,0,0,$B$4,1),OFFSET(Snapshots!$AA$5,0,0,$B$4,1)),""))</f>
        <v>0.739610753492925</v>
      </c>
      <c r="C14" s="5" t="s">
        <v>183</v>
      </c>
    </row>
    <row r="15" customFormat="false" ht="15" hidden="false" customHeight="false" outlineLevel="0" collapsed="false">
      <c r="A15" s="3" t="s">
        <v>184</v>
      </c>
      <c r="B15" s="15" t="n">
        <f aca="true">IF($B$4&lt;2,"",IFERROR(RSQ(OFFSET(Snapshots!$Z$5,0,0,$B$4,1),OFFSET(Snapshots!$AA$5,0,0,$B$4,1)),""))</f>
        <v>0.505909346721657</v>
      </c>
      <c r="C15" s="5" t="s">
        <v>185</v>
      </c>
    </row>
    <row r="16" customFormat="false" ht="15" hidden="false" customHeight="false" outlineLevel="0" collapsed="false">
      <c r="A16" s="3" t="s">
        <v>186</v>
      </c>
      <c r="B16" s="15" t="n">
        <f aca="false">IF($B$4=0,"",INDEX(Snapshots!$AE$4:$AE$40,$B$5)^(365.25/$B$6)-1)</f>
        <v>0.279101550582236</v>
      </c>
      <c r="C16" s="5"/>
    </row>
    <row r="17" customFormat="false" ht="15" hidden="false" customHeight="false" outlineLevel="0" collapsed="false">
      <c r="A17" s="3" t="s">
        <v>187</v>
      </c>
      <c r="B17" s="15" t="n">
        <f aca="false">IF(OR($B$14="",$B$16=""),"",$B$10-(Settings!$B$6+$B$14*($B$16-Settings!$B$6)))</f>
        <v>-0.0612942791141443</v>
      </c>
      <c r="C17" s="5" t="s">
        <v>188</v>
      </c>
    </row>
    <row r="19" customFormat="false" ht="15" hidden="false" customHeight="false" outlineLevel="0" collapsed="false">
      <c r="A19" s="2" t="s">
        <v>189</v>
      </c>
    </row>
    <row r="20" customFormat="false" ht="15" hidden="false" customHeight="false" outlineLevel="0" collapsed="false">
      <c r="A20" s="3" t="s">
        <v>190</v>
      </c>
      <c r="B20" s="26" t="n">
        <f aca="false">COUNTIF(Dashboard!$E$15:$E$24,"&gt;0.000001")</f>
        <v>4</v>
      </c>
    </row>
    <row r="21" customFormat="false" ht="15" hidden="false" customHeight="false" outlineLevel="0" collapsed="false">
      <c r="A21" s="3" t="s">
        <v>191</v>
      </c>
      <c r="B21" s="27" t="n">
        <f aca="false">IFERROR(1/SUMSQ($E$28:$E$37),"")</f>
        <v>2.05550730381014</v>
      </c>
    </row>
    <row r="22" customFormat="false" ht="15" hidden="false" customHeight="false" outlineLevel="0" collapsed="false">
      <c r="A22" s="3" t="s">
        <v>192</v>
      </c>
      <c r="B22" s="15" t="n">
        <f aca="false">IFERROR(MAX($E$28:$E$37),"")</f>
        <v>0.668589407446251</v>
      </c>
    </row>
    <row r="23" customFormat="false" ht="15" hidden="false" customHeight="false" outlineLevel="0" collapsed="false">
      <c r="A23" s="3" t="s">
        <v>193</v>
      </c>
      <c r="B23" s="15" t="n">
        <f aca="false">IFERROR(LARGE($E$28:$E$37,1),0)+IFERROR(LARGE($E$28:$E$37,2),0)+IFERROR(LARGE($E$28:$E$37,3),0)</f>
        <v>0.915049816465653</v>
      </c>
    </row>
    <row r="27" customFormat="false" ht="15" hidden="false" customHeight="false" outlineLevel="0" collapsed="false">
      <c r="D27" s="10" t="s">
        <v>92</v>
      </c>
      <c r="E27" s="10" t="s">
        <v>194</v>
      </c>
    </row>
    <row r="28" customFormat="false" ht="15" hidden="false" customHeight="false" outlineLevel="0" collapsed="false">
      <c r="D28" s="24" t="str">
        <f aca="false">IF(Dashboard!$A15="","",Dashboard!$A15)</f>
        <v>VOO</v>
      </c>
      <c r="E28" s="15" t="n">
        <f aca="false">IF(Dashboard!$A15="","",IFERROR(Dashboard!$E15/Dashboard!$E$25,""))</f>
        <v>0.668589407446251</v>
      </c>
    </row>
    <row r="29" customFormat="false" ht="15" hidden="false" customHeight="false" outlineLevel="0" collapsed="false">
      <c r="D29" s="24" t="str">
        <f aca="false">IF(Dashboard!$A16="","",Dashboard!$A16)</f>
        <v>AAPL</v>
      </c>
      <c r="E29" s="15" t="n">
        <f aca="false">IF(Dashboard!$A16="","",IFERROR(Dashboard!$E16/Dashboard!$E$25,""))</f>
        <v>0.154037755637126</v>
      </c>
    </row>
    <row r="30" customFormat="false" ht="15" hidden="false" customHeight="false" outlineLevel="0" collapsed="false">
      <c r="D30" s="24" t="str">
        <f aca="false">IF(Dashboard!$A17="","",Dashboard!$A17)</f>
        <v>NVDA</v>
      </c>
      <c r="E30" s="15" t="n">
        <f aca="false">IF(Dashboard!$A17="","",IFERROR(Dashboard!$E17/Dashboard!$E$25,""))</f>
        <v>0.0924226533822758</v>
      </c>
    </row>
    <row r="31" customFormat="false" ht="15" hidden="false" customHeight="false" outlineLevel="0" collapsed="false">
      <c r="D31" s="24" t="str">
        <f aca="false">IF(Dashboard!$A18="","",Dashboard!$A18)</f>
        <v>MSFT</v>
      </c>
      <c r="E31" s="15" t="n">
        <f aca="false">IF(Dashboard!$A18="","",IFERROR(Dashboard!$E18/Dashboard!$E$25,""))</f>
        <v>0.0849501835343472</v>
      </c>
    </row>
    <row r="32" customFormat="false" ht="15" hidden="false" customHeight="false" outlineLevel="0" collapsed="false">
      <c r="D32" s="24" t="str">
        <f aca="false">IF(Dashboard!$A19="","",Dashboard!$A19)</f>
        <v>INTC</v>
      </c>
      <c r="E32" s="15" t="n">
        <f aca="false">IF(Dashboard!$A19="","",IFERROR(Dashboard!$E19/Dashboard!$E$25,""))</f>
        <v>0</v>
      </c>
    </row>
    <row r="33" customFormat="false" ht="15" hidden="false" customHeight="false" outlineLevel="0" collapsed="false">
      <c r="D33" s="24" t="str">
        <f aca="false">IF(Dashboard!$A20="","",Dashboard!$A20)</f>
        <v/>
      </c>
      <c r="E33" s="15" t="str">
        <f aca="false">IF(Dashboard!$A20="","",IFERROR(Dashboard!$E20/Dashboard!$E$25,""))</f>
        <v/>
      </c>
    </row>
    <row r="34" customFormat="false" ht="15" hidden="false" customHeight="false" outlineLevel="0" collapsed="false">
      <c r="D34" s="24" t="str">
        <f aca="false">IF(Dashboard!$A21="","",Dashboard!$A21)</f>
        <v/>
      </c>
      <c r="E34" s="15" t="str">
        <f aca="false">IF(Dashboard!$A21="","",IFERROR(Dashboard!$E21/Dashboard!$E$25,""))</f>
        <v/>
      </c>
    </row>
    <row r="35" customFormat="false" ht="15" hidden="false" customHeight="false" outlineLevel="0" collapsed="false">
      <c r="D35" s="24" t="str">
        <f aca="false">IF(Dashboard!$A22="","",Dashboard!$A22)</f>
        <v/>
      </c>
      <c r="E35" s="15" t="str">
        <f aca="false">IF(Dashboard!$A22="","",IFERROR(Dashboard!$E22/Dashboard!$E$25,""))</f>
        <v/>
      </c>
    </row>
    <row r="36" customFormat="false" ht="15" hidden="false" customHeight="false" outlineLevel="0" collapsed="false">
      <c r="D36" s="24" t="str">
        <f aca="false">IF(Dashboard!$A23="","",Dashboard!$A23)</f>
        <v/>
      </c>
      <c r="E36" s="15" t="str">
        <f aca="false">IF(Dashboard!$A23="","",IFERROR(Dashboard!$E23/Dashboard!$E$25,""))</f>
        <v/>
      </c>
    </row>
    <row r="37" customFormat="false" ht="15" hidden="false" customHeight="false" outlineLevel="0" collapsed="false">
      <c r="D37" s="24" t="str">
        <f aca="false">IF(Dashboard!$A24="","",Dashboard!$A24)</f>
        <v/>
      </c>
      <c r="E37" s="15" t="str">
        <f aca="false">IF(Dashboard!$A24="","",IFERROR(Dashboard!$E24/Dashboard!$E$25,""))</f>
        <v/>
      </c>
    </row>
    <row r="39" customFormat="false" ht="15" hidden="false" customHeight="false" outlineLevel="0" collapsed="false">
      <c r="A39" s="2" t="s">
        <v>195</v>
      </c>
    </row>
    <row r="40" customFormat="false" ht="15" hidden="false" customHeight="false" outlineLevel="0" collapsed="false">
      <c r="A40" s="10" t="s">
        <v>126</v>
      </c>
      <c r="B40" s="10" t="s">
        <v>157</v>
      </c>
      <c r="C40" s="10" t="s">
        <v>196</v>
      </c>
    </row>
    <row r="41" customFormat="false" ht="15" hidden="false" customHeight="false" outlineLevel="0" collapsed="false">
      <c r="A41" s="7" t="s">
        <v>128</v>
      </c>
      <c r="B41" s="14" t="n">
        <f aca="false">IF($A41="","",SUMIFS(Dashboard!$E$15:$E$24,Dashboard!$I$15:$I$24,$A41))</f>
        <v>10200</v>
      </c>
      <c r="C41" s="15" t="n">
        <f aca="false">IF($A41="","",IFERROR($B41/Dashboard!$E$25,""))</f>
        <v>0.668589407446251</v>
      </c>
    </row>
    <row r="42" customFormat="false" ht="15" hidden="false" customHeight="false" outlineLevel="0" collapsed="false">
      <c r="A42" s="7" t="s">
        <v>130</v>
      </c>
      <c r="B42" s="14" t="n">
        <f aca="false">IF($A42="","",SUMIFS(Dashboard!$E$15:$E$24,Dashboard!$I$15:$I$24,$A42))</f>
        <v>2350</v>
      </c>
      <c r="C42" s="15" t="n">
        <f aca="false">IF($A42="","",IFERROR($B42/Dashboard!$E$25,""))</f>
        <v>0.154037755637126</v>
      </c>
    </row>
    <row r="43" customFormat="false" ht="15" hidden="false" customHeight="false" outlineLevel="0" collapsed="false">
      <c r="A43" s="7" t="s">
        <v>132</v>
      </c>
      <c r="B43" s="14" t="n">
        <f aca="false">IF($A43="","",SUMIFS(Dashboard!$E$15:$E$24,Dashboard!$I$15:$I$24,$A43))</f>
        <v>1410</v>
      </c>
      <c r="C43" s="15" t="n">
        <f aca="false">IF($A43="","",IFERROR($B43/Dashboard!$E$25,""))</f>
        <v>0.0924226533822758</v>
      </c>
    </row>
    <row r="44" customFormat="false" ht="15" hidden="false" customHeight="false" outlineLevel="0" collapsed="false">
      <c r="A44" s="7" t="s">
        <v>133</v>
      </c>
      <c r="B44" s="14" t="n">
        <f aca="false">IF($A44="","",SUMIFS(Dashboard!$E$15:$E$24,Dashboard!$I$15:$I$24,$A44))</f>
        <v>1296</v>
      </c>
      <c r="C44" s="15" t="n">
        <f aca="false">IF($A44="","",IFERROR($B44/Dashboard!$E$25,""))</f>
        <v>0.0849501835343472</v>
      </c>
    </row>
    <row r="45" customFormat="false" ht="15" hidden="false" customHeight="false" outlineLevel="0" collapsed="false">
      <c r="B45" s="14" t="str">
        <f aca="false">IF($A45="","",SUMIFS(Dashboard!$E$15:$E$24,Dashboard!$I$15:$I$24,$A45))</f>
        <v/>
      </c>
      <c r="C45" s="15" t="str">
        <f aca="false">IF($A45="","",IFERROR($B45/Dashboard!$E$25,""))</f>
        <v/>
      </c>
    </row>
    <row r="46" customFormat="false" ht="15" hidden="false" customHeight="false" outlineLevel="0" collapsed="false">
      <c r="B46" s="14" t="str">
        <f aca="false">IF($A46="","",SUMIFS(Dashboard!$E$15:$E$24,Dashboard!$I$15:$I$24,$A46))</f>
        <v/>
      </c>
      <c r="C46" s="15" t="str">
        <f aca="false">IF($A46="","",IFERROR($B46/Dashboard!$E$25,""))</f>
        <v/>
      </c>
    </row>
    <row r="47" customFormat="false" ht="15" hidden="false" customHeight="false" outlineLevel="0" collapsed="false">
      <c r="B47" s="14" t="str">
        <f aca="false">IF($A47="","",SUMIFS(Dashboard!$E$15:$E$24,Dashboard!$I$15:$I$24,$A47))</f>
        <v/>
      </c>
      <c r="C47" s="15" t="str">
        <f aca="false">IF($A47="","",IFERROR($B47/Dashboard!$E$25,""))</f>
        <v/>
      </c>
    </row>
    <row r="48" customFormat="false" ht="15" hidden="false" customHeight="false" outlineLevel="0" collapsed="false">
      <c r="B48" s="14" t="str">
        <f aca="false">IF($A48="","",SUMIFS(Dashboard!$E$15:$E$24,Dashboard!$I$15:$I$24,$A48))</f>
        <v/>
      </c>
      <c r="C48" s="15" t="str">
        <f aca="false">IF($A48="","",IFERROR($B48/Dashboard!$E$25,""))</f>
        <v/>
      </c>
    </row>
    <row r="50" customFormat="false" ht="15" hidden="false" customHeight="false" outlineLevel="0" collapsed="false">
      <c r="A50" s="5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A83D"/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5" t="s">
        <v>199</v>
      </c>
    </row>
    <row r="4" customFormat="false" ht="23.85" hidden="false" customHeight="false" outlineLevel="0" collapsed="false">
      <c r="A4" s="10" t="s">
        <v>200</v>
      </c>
      <c r="B4" s="10" t="s">
        <v>201</v>
      </c>
      <c r="C4" s="10" t="s">
        <v>202</v>
      </c>
      <c r="D4" s="10" t="s">
        <v>203</v>
      </c>
      <c r="E4" s="10" t="s">
        <v>204</v>
      </c>
      <c r="F4" s="10" t="s">
        <v>205</v>
      </c>
      <c r="G4" s="10" t="s">
        <v>206</v>
      </c>
    </row>
    <row r="5" customFormat="false" ht="15" hidden="false" customHeight="false" outlineLevel="0" collapsed="false">
      <c r="A5" s="24" t="s">
        <v>207</v>
      </c>
      <c r="B5" s="5" t="s">
        <v>208</v>
      </c>
      <c r="C5" s="20" t="n">
        <v>28846</v>
      </c>
      <c r="D5" s="29" t="n">
        <f aca="false">Dashboard!$B$4</f>
        <v>28846</v>
      </c>
      <c r="E5" s="14" t="n">
        <f aca="false">IF(OR($C5="",$D5=""),"",$D5-$C5)</f>
        <v>0</v>
      </c>
      <c r="F5" s="30" t="n">
        <v>1</v>
      </c>
      <c r="G5" s="31" t="str">
        <f aca="false">IF($E5="","",IF(ABS($E5)&lt;=$F5,"PASS","CHECK"))</f>
        <v>PASS</v>
      </c>
    </row>
    <row r="6" customFormat="false" ht="15" hidden="false" customHeight="false" outlineLevel="0" collapsed="false">
      <c r="A6" s="24" t="s">
        <v>209</v>
      </c>
      <c r="B6" s="5" t="s">
        <v>208</v>
      </c>
      <c r="C6" s="20" t="n">
        <v>13590</v>
      </c>
      <c r="D6" s="29" t="n">
        <f aca="false">Dashboard!$B$5</f>
        <v>13590</v>
      </c>
      <c r="E6" s="14" t="n">
        <f aca="false">IF(OR($C6="",$D6=""),"",$D6-$C6)</f>
        <v>0</v>
      </c>
      <c r="F6" s="30" t="n">
        <v>1</v>
      </c>
      <c r="G6" s="31" t="str">
        <f aca="false">IF($E6="","",IF(ABS($E6)&lt;=$F6,"PASS","CHECK"))</f>
        <v>PASS</v>
      </c>
    </row>
    <row r="7" customFormat="false" ht="15" hidden="false" customHeight="false" outlineLevel="0" collapsed="false">
      <c r="A7" s="24" t="s">
        <v>210</v>
      </c>
      <c r="B7" s="5" t="s">
        <v>208</v>
      </c>
      <c r="C7" s="20" t="n">
        <v>14260</v>
      </c>
      <c r="D7" s="29" t="n">
        <f aca="false">Dashboard!$B$6</f>
        <v>14260</v>
      </c>
      <c r="E7" s="14" t="n">
        <f aca="false">IF(OR($C7="",$D7=""),"",$D7-$C7)</f>
        <v>0</v>
      </c>
      <c r="F7" s="30" t="n">
        <v>1</v>
      </c>
      <c r="G7" s="31" t="str">
        <f aca="false">IF($E7="","",IF(ABS($E7)&lt;=$F7,"PASS","CHECK"))</f>
        <v>PASS</v>
      </c>
    </row>
    <row r="8" customFormat="false" ht="15" hidden="false" customHeight="false" outlineLevel="0" collapsed="false">
      <c r="A8" s="24" t="s">
        <v>211</v>
      </c>
      <c r="B8" s="5" t="s">
        <v>208</v>
      </c>
      <c r="C8" s="20" t="n">
        <v>996</v>
      </c>
      <c r="D8" s="29" t="n">
        <f aca="false">Dashboard!$B$7</f>
        <v>996</v>
      </c>
      <c r="E8" s="14" t="n">
        <f aca="false">IF(OR($C8="",$D8=""),"",$D8-$C8)</f>
        <v>0</v>
      </c>
      <c r="F8" s="30" t="n">
        <v>1</v>
      </c>
      <c r="G8" s="31" t="str">
        <f aca="false">IF($E8="","",IF(ABS($E8)&lt;=$F8,"PASS","CHECK"))</f>
        <v>PASS</v>
      </c>
    </row>
    <row r="9" customFormat="false" ht="15" hidden="false" customHeight="false" outlineLevel="0" collapsed="false">
      <c r="A9" s="24" t="s">
        <v>212</v>
      </c>
      <c r="B9" s="5" t="s">
        <v>208</v>
      </c>
      <c r="C9" s="20" t="n">
        <v>-150</v>
      </c>
      <c r="D9" s="29" t="n">
        <f aca="false">Dashboard!$B$8</f>
        <v>-150</v>
      </c>
      <c r="E9" s="14" t="n">
        <f aca="false">IF(OR($C9="",$D9=""),"",$D9-$C9)</f>
        <v>0</v>
      </c>
      <c r="F9" s="30" t="n">
        <v>1</v>
      </c>
      <c r="G9" s="31" t="str">
        <f aca="false">IF($E9="","",IF(ABS($E9)&lt;=$F9,"PASS","CHECK"))</f>
        <v>PASS</v>
      </c>
    </row>
    <row r="10" customFormat="false" ht="15" hidden="false" customHeight="false" outlineLevel="0" collapsed="false">
      <c r="A10" s="24" t="s">
        <v>213</v>
      </c>
      <c r="B10" s="5" t="s">
        <v>208</v>
      </c>
      <c r="C10" s="20" t="n">
        <v>28000</v>
      </c>
      <c r="D10" s="29" t="n">
        <f aca="false">Dashboard!$B$9</f>
        <v>28000</v>
      </c>
      <c r="E10" s="14" t="n">
        <f aca="false">IF(OR($C10="",$D10=""),"",$D10-$C10)</f>
        <v>0</v>
      </c>
      <c r="F10" s="30" t="n">
        <v>1</v>
      </c>
      <c r="G10" s="31" t="str">
        <f aca="false">IF($E10="","",IF(ABS($E10)&lt;=$F10,"PASS","CHECK"))</f>
        <v>PASS</v>
      </c>
    </row>
    <row r="11" customFormat="false" ht="15" hidden="false" customHeight="false" outlineLevel="0" collapsed="false">
      <c r="A11" s="24" t="s">
        <v>153</v>
      </c>
      <c r="B11" s="5" t="s">
        <v>208</v>
      </c>
      <c r="C11" s="20" t="n">
        <v>846</v>
      </c>
      <c r="D11" s="29" t="n">
        <f aca="false">Dashboard!$B$10</f>
        <v>846</v>
      </c>
      <c r="E11" s="14" t="n">
        <f aca="false">IF(OR($C11="",$D11=""),"",$D11-$C11)</f>
        <v>0</v>
      </c>
      <c r="F11" s="30" t="n">
        <v>1</v>
      </c>
      <c r="G11" s="31" t="str">
        <f aca="false">IF($E11="","",IF(ABS($E11)&lt;=$F11,"PASS","CHECK"))</f>
        <v>PASS</v>
      </c>
    </row>
    <row r="12" customFormat="false" ht="15" hidden="false" customHeight="false" outlineLevel="0" collapsed="false">
      <c r="A12" s="24" t="s">
        <v>154</v>
      </c>
      <c r="B12" s="5" t="s">
        <v>208</v>
      </c>
      <c r="C12" s="8" t="n">
        <v>0.03</v>
      </c>
      <c r="D12" s="32" t="n">
        <f aca="false">Dashboard!$B$11</f>
        <v>0.0302142857142857</v>
      </c>
      <c r="E12" s="15" t="n">
        <f aca="false">IF(OR($C12="",$D12=""),"",$D12-$C12)</f>
        <v>0.000214285714285715</v>
      </c>
      <c r="F12" s="30" t="n">
        <v>0.0015</v>
      </c>
      <c r="G12" s="31" t="str">
        <f aca="false">IF($E12="","",IF(ABS($E12)&lt;=$F12,"PASS","CHECK"))</f>
        <v>PASS</v>
      </c>
    </row>
    <row r="13" customFormat="false" ht="15" hidden="false" customHeight="false" outlineLevel="0" collapsed="false">
      <c r="A13" s="24" t="s">
        <v>214</v>
      </c>
      <c r="B13" s="5" t="s">
        <v>208</v>
      </c>
      <c r="C13" s="20" t="n">
        <v>846</v>
      </c>
      <c r="D13" s="29" t="n">
        <f aca="false">Dashboard!$B$12</f>
        <v>846</v>
      </c>
      <c r="E13" s="14" t="n">
        <f aca="false">IF(OR($C13="",$D13=""),"",$D13-$C13)</f>
        <v>0</v>
      </c>
      <c r="F13" s="30" t="n">
        <v>1</v>
      </c>
      <c r="G13" s="31" t="str">
        <f aca="false">IF($E13="","",IF(ABS($E13)&lt;=$F13,"PASS","CHECK"))</f>
        <v>PASS</v>
      </c>
    </row>
    <row r="14" customFormat="false" ht="15" hidden="false" customHeight="false" outlineLevel="0" collapsed="false">
      <c r="A14" s="24" t="s">
        <v>215</v>
      </c>
      <c r="B14" s="5" t="s">
        <v>216</v>
      </c>
      <c r="C14" s="8" t="n">
        <v>0.015</v>
      </c>
      <c r="D14" s="32" t="n">
        <f aca="false">Decisions!$M$4</f>
        <v>0.0154</v>
      </c>
      <c r="E14" s="15" t="n">
        <f aca="false">IF(OR($C14="",$D14=""),"",$D14-$C14)</f>
        <v>0.000400000000000001</v>
      </c>
      <c r="F14" s="30" t="n">
        <v>0.0015</v>
      </c>
      <c r="G14" s="31" t="str">
        <f aca="false">IF($E14="","",IF(ABS($E14)&lt;=$F14,"PASS","CHECK"))</f>
        <v>PASS</v>
      </c>
    </row>
    <row r="15" customFormat="false" ht="15" hidden="false" customHeight="false" outlineLevel="0" collapsed="false">
      <c r="A15" s="24" t="s">
        <v>217</v>
      </c>
      <c r="B15" s="5" t="s">
        <v>218</v>
      </c>
      <c r="C15" s="20" t="n">
        <v>450</v>
      </c>
      <c r="D15" s="29" t="n">
        <f aca="false">Decisions!$L$5</f>
        <v>450</v>
      </c>
      <c r="E15" s="14" t="n">
        <f aca="false">IF(OR($C15="",$D15=""),"",$D15-$C15)</f>
        <v>0</v>
      </c>
      <c r="F15" s="30" t="n">
        <v>1</v>
      </c>
      <c r="G15" s="31" t="str">
        <f aca="false">IF($E15="","",IF(ABS($E15)&lt;=$F15,"PASS","CHECK"))</f>
        <v>PASS</v>
      </c>
    </row>
    <row r="16" customFormat="false" ht="15" hidden="false" customHeight="false" outlineLevel="0" collapsed="false">
      <c r="A16" s="24" t="s">
        <v>219</v>
      </c>
      <c r="B16" s="5" t="s">
        <v>216</v>
      </c>
      <c r="C16" s="8" t="n">
        <v>0.018</v>
      </c>
      <c r="D16" s="32" t="n">
        <f aca="false">Decisions!$M$5</f>
        <v>0.017727004136301</v>
      </c>
      <c r="E16" s="15" t="n">
        <f aca="false">IF(OR($C16="",$D16=""),"",$D16-$C16)</f>
        <v>-0.000272995863699034</v>
      </c>
      <c r="F16" s="30" t="n">
        <v>0.0015</v>
      </c>
      <c r="G16" s="31" t="str">
        <f aca="false">IF($E16="","",IF(ABS($E16)&lt;=$F16,"PASS","CHECK"))</f>
        <v>PASS</v>
      </c>
    </row>
    <row r="17" customFormat="false" ht="15" hidden="false" customHeight="false" outlineLevel="0" collapsed="false">
      <c r="A17" s="24" t="s">
        <v>220</v>
      </c>
      <c r="B17" s="5" t="s">
        <v>216</v>
      </c>
      <c r="C17" s="8" t="n">
        <v>0</v>
      </c>
      <c r="D17" s="32" t="n">
        <f aca="false">Decisions!$M$6</f>
        <v>0.000381480839257846</v>
      </c>
      <c r="E17" s="15" t="n">
        <f aca="false">IF(OR($C17="",$D17=""),"",$D17-$C17)</f>
        <v>0.000381480839257846</v>
      </c>
      <c r="F17" s="30" t="n">
        <v>0.0015</v>
      </c>
      <c r="G17" s="31" t="str">
        <f aca="false">IF($E17="","",IF(ABS($E17)&lt;=$F17,"PASS","CHECK"))</f>
        <v>PASS</v>
      </c>
    </row>
    <row r="18" customFormat="false" ht="15" hidden="false" customHeight="false" outlineLevel="0" collapsed="false">
      <c r="A18" s="24" t="s">
        <v>221</v>
      </c>
      <c r="B18" s="5" t="s">
        <v>222</v>
      </c>
      <c r="C18" s="8" t="n">
        <v>0.354</v>
      </c>
      <c r="D18" s="32" t="n">
        <f aca="false">Dashboard!$H$15</f>
        <v>0.353601885876725</v>
      </c>
      <c r="E18" s="15" t="n">
        <f aca="false">IF(OR($C18="",$D18=""),"",$D18-$C18)</f>
        <v>-0.000398114123275284</v>
      </c>
      <c r="F18" s="30" t="n">
        <v>0.0015</v>
      </c>
      <c r="G18" s="31" t="str">
        <f aca="false">IF($E18="","",IF(ABS($E18)&lt;=$F18,"PASS","CHECK"))</f>
        <v>PASS</v>
      </c>
    </row>
    <row r="19" customFormat="false" ht="15" hidden="false" customHeight="false" outlineLevel="0" collapsed="false">
      <c r="A19" s="24" t="s">
        <v>223</v>
      </c>
      <c r="B19" s="5" t="s">
        <v>222</v>
      </c>
      <c r="C19" s="8" t="n">
        <v>0.081</v>
      </c>
      <c r="D19" s="32" t="n">
        <f aca="false">Dashboard!$H$16</f>
        <v>0.0814671011578728</v>
      </c>
      <c r="E19" s="15" t="n">
        <f aca="false">IF(OR($C19="",$D19=""),"",$D19-$C19)</f>
        <v>0.000467101157872837</v>
      </c>
      <c r="F19" s="30" t="n">
        <v>0.0015</v>
      </c>
      <c r="G19" s="31" t="str">
        <f aca="false">IF($E19="","",IF(ABS($E19)&lt;=$F19,"PASS","CHECK"))</f>
        <v>PASS</v>
      </c>
    </row>
    <row r="20" customFormat="false" ht="15" hidden="false" customHeight="false" outlineLevel="0" collapsed="false">
      <c r="A20" s="24" t="s">
        <v>224</v>
      </c>
      <c r="B20" s="5" t="s">
        <v>222</v>
      </c>
      <c r="C20" s="8" t="n">
        <v>0.049</v>
      </c>
      <c r="D20" s="32" t="n">
        <f aca="false">Dashboard!$H$17</f>
        <v>0.0488802606947237</v>
      </c>
      <c r="E20" s="15" t="n">
        <f aca="false">IF(OR($C20="",$D20=""),"",$D20-$C20)</f>
        <v>-0.000119739305276298</v>
      </c>
      <c r="F20" s="30" t="n">
        <v>0.0015</v>
      </c>
      <c r="G20" s="31" t="str">
        <f aca="false">IF($E20="","",IF(ABS($E20)&lt;=$F20,"PASS","CHECK"))</f>
        <v>PASS</v>
      </c>
    </row>
    <row r="21" customFormat="false" ht="15" hidden="false" customHeight="false" outlineLevel="0" collapsed="false">
      <c r="A21" s="24" t="s">
        <v>225</v>
      </c>
      <c r="B21" s="5" t="s">
        <v>222</v>
      </c>
      <c r="C21" s="8" t="n">
        <v>0.045</v>
      </c>
      <c r="D21" s="32" t="n">
        <f aca="false">Dashboard!$H$18</f>
        <v>0.044928239617278</v>
      </c>
      <c r="E21" s="15" t="n">
        <f aca="false">IF(OR($C21="",$D21=""),"",$D21-$C21)</f>
        <v>-7.17603827220387E-005</v>
      </c>
      <c r="F21" s="30" t="n">
        <v>0.0015</v>
      </c>
      <c r="G21" s="31" t="str">
        <f aca="false">IF($E21="","",IF(ABS($E21)&lt;=$F21,"PASS","CHECK"))</f>
        <v>PASS</v>
      </c>
    </row>
    <row r="22" customFormat="false" ht="15" hidden="false" customHeight="false" outlineLevel="0" collapsed="false">
      <c r="A22" s="24" t="s">
        <v>226</v>
      </c>
      <c r="B22" s="5" t="s">
        <v>222</v>
      </c>
      <c r="C22" s="8" t="n">
        <v>0.471</v>
      </c>
      <c r="D22" s="32" t="n">
        <f aca="false">Dashboard!$H$26</f>
        <v>0.471122512653401</v>
      </c>
      <c r="E22" s="15" t="n">
        <f aca="false">IF(OR($C22="",$D22=""),"",$D22-$C22)</f>
        <v>0.000122512653400853</v>
      </c>
      <c r="F22" s="30" t="n">
        <v>0.0015</v>
      </c>
      <c r="G22" s="31" t="str">
        <f aca="false">IF($E22="","",IF(ABS($E22)&lt;=$F22,"PASS","CHECK"))</f>
        <v>PASS</v>
      </c>
    </row>
    <row r="23" customFormat="false" ht="15" hidden="false" customHeight="false" outlineLevel="0" collapsed="false">
      <c r="A23" s="24" t="s">
        <v>178</v>
      </c>
      <c r="B23" s="5" t="s">
        <v>227</v>
      </c>
      <c r="C23" s="33" t="n">
        <v>5.58</v>
      </c>
      <c r="D23" s="34" t="n">
        <f aca="false">XRay!$B$12</f>
        <v>5.57963362591292</v>
      </c>
      <c r="E23" s="23" t="n">
        <f aca="false">IF(OR($C23="",$D23=""),"",$D23-$C23)</f>
        <v>-0.000366374087083621</v>
      </c>
      <c r="F23" s="30" t="n">
        <v>0.05</v>
      </c>
      <c r="G23" s="31" t="str">
        <f aca="false">IF($E23="","",IF(ABS($E23)&lt;=$F23,"PASS","CHECK"))</f>
        <v>PASS</v>
      </c>
    </row>
    <row r="24" customFormat="false" ht="15" hidden="false" customHeight="false" outlineLevel="0" collapsed="false">
      <c r="A24" s="24" t="s">
        <v>182</v>
      </c>
      <c r="B24" s="5" t="s">
        <v>227</v>
      </c>
      <c r="C24" s="33" t="n">
        <v>0.74</v>
      </c>
      <c r="D24" s="34" t="n">
        <f aca="false">XRay!$B$14</f>
        <v>0.739610753492925</v>
      </c>
      <c r="E24" s="23" t="n">
        <f aca="false">IF(OR($C24="",$D24=""),"",$D24-$C24)</f>
        <v>-0.000389246507075391</v>
      </c>
      <c r="F24" s="30" t="n">
        <v>0.02</v>
      </c>
      <c r="G24" s="31" t="str">
        <f aca="false">IF($E24="","",IF(ABS($E24)&lt;=$F24,"PASS","CHECK"))</f>
        <v>PASS</v>
      </c>
    </row>
    <row r="25" customFormat="false" ht="15" hidden="false" customHeight="false" outlineLevel="0" collapsed="false">
      <c r="A25" s="24" t="s">
        <v>228</v>
      </c>
      <c r="B25" s="5" t="s">
        <v>227</v>
      </c>
      <c r="C25" s="8" t="n">
        <v>-0.061</v>
      </c>
      <c r="D25" s="32" t="n">
        <f aca="false">XRay!$B$17</f>
        <v>-0.0612942791141443</v>
      </c>
      <c r="E25" s="15" t="n">
        <f aca="false">IF(OR($C25="",$D25=""),"",$D25-$C25)</f>
        <v>-0.000294279114144258</v>
      </c>
      <c r="F25" s="30" t="n">
        <v>0.005</v>
      </c>
      <c r="G25" s="31" t="str">
        <f aca="false">IF($E25="","",IF(ABS($E25)&lt;=$F25,"PASS","CHECK"))</f>
        <v>PASS</v>
      </c>
    </row>
    <row r="26" customFormat="false" ht="15" hidden="false" customHeight="false" outlineLevel="0" collapsed="false">
      <c r="A26" s="24" t="s">
        <v>229</v>
      </c>
      <c r="B26" s="5" t="s">
        <v>227</v>
      </c>
      <c r="C26" s="8" t="n">
        <v>0.019</v>
      </c>
      <c r="D26" s="32" t="n">
        <f aca="false">XRay!$B$11</f>
        <v>0.018831897900682</v>
      </c>
      <c r="E26" s="15" t="n">
        <f aca="false">IF(OR($C26="",$D26=""),"",$D26-$C26)</f>
        <v>-0.000168102099317953</v>
      </c>
      <c r="F26" s="30" t="n">
        <v>0.0015</v>
      </c>
      <c r="G26" s="31" t="str">
        <f aca="false">IF($E26="","",IF(ABS($E26)&lt;=$F26,"PASS","CHECK"))</f>
        <v>PASS</v>
      </c>
    </row>
    <row r="27" customFormat="false" ht="15" hidden="false" customHeight="false" outlineLevel="0" collapsed="false">
      <c r="A27" s="24" t="s">
        <v>180</v>
      </c>
      <c r="B27" s="5" t="s">
        <v>227</v>
      </c>
      <c r="C27" s="8" t="n">
        <v>0</v>
      </c>
      <c r="D27" s="32" t="n">
        <f aca="false">XRay!$B$13</f>
        <v>-0.000397930760047793</v>
      </c>
      <c r="E27" s="15" t="n">
        <f aca="false">IF(OR($C27="",$D27=""),"",$D27-$C27)</f>
        <v>-0.000397930760047793</v>
      </c>
      <c r="F27" s="30" t="n">
        <v>0.001</v>
      </c>
      <c r="G27" s="31" t="str">
        <f aca="false">IF($E27="","",IF(ABS($E27)&lt;=$F27,"PASS","CHECK"))</f>
        <v>PASS</v>
      </c>
    </row>
    <row r="28" customFormat="false" ht="15" hidden="false" customHeight="false" outlineLevel="0" collapsed="false">
      <c r="A28" s="24" t="s">
        <v>184</v>
      </c>
      <c r="B28" s="5" t="s">
        <v>227</v>
      </c>
      <c r="C28" s="8" t="n">
        <v>0.51</v>
      </c>
      <c r="D28" s="32" t="n">
        <f aca="false">XRay!$B$15</f>
        <v>0.505909346721657</v>
      </c>
      <c r="E28" s="15" t="n">
        <f aca="false">IF(OR($C28="",$D28=""),"",$D28-$C28)</f>
        <v>-0.00409065327834313</v>
      </c>
      <c r="F28" s="30" t="n">
        <v>0.01</v>
      </c>
      <c r="G28" s="31" t="str">
        <f aca="false">IF($E28="","",IF(ABS($E28)&lt;=$F28,"PASS","CHECK"))</f>
        <v>PASS</v>
      </c>
    </row>
    <row r="29" customFormat="false" ht="15" hidden="false" customHeight="false" outlineLevel="0" collapsed="false">
      <c r="A29" s="24" t="s">
        <v>174</v>
      </c>
      <c r="B29" s="5" t="s">
        <v>227</v>
      </c>
      <c r="C29" s="8" t="n">
        <v>0.156</v>
      </c>
      <c r="D29" s="32" t="n">
        <f aca="false">XRay!$B$10</f>
        <v>0.15554779887331</v>
      </c>
      <c r="E29" s="15" t="n">
        <f aca="false">IF(OR($C29="",$D29=""),"",$D29-$C29)</f>
        <v>-0.000452201126690172</v>
      </c>
      <c r="F29" s="30" t="n">
        <v>0.002</v>
      </c>
      <c r="G29" s="31" t="str">
        <f aca="false">IF($E29="","",IF(ABS($E29)&lt;=$F29,"PASS","CHECK"))</f>
        <v>PASS</v>
      </c>
    </row>
    <row r="30" customFormat="false" ht="15" hidden="false" customHeight="false" outlineLevel="0" collapsed="false">
      <c r="A30" s="24" t="s">
        <v>186</v>
      </c>
      <c r="B30" s="5" t="s">
        <v>227</v>
      </c>
      <c r="C30" s="8" t="n">
        <v>0.279</v>
      </c>
      <c r="D30" s="32" t="n">
        <f aca="false">XRay!$B$16</f>
        <v>0.279101550582236</v>
      </c>
      <c r="E30" s="15" t="n">
        <f aca="false">IF(OR($C30="",$D30=""),"",$D30-$C30)</f>
        <v>0.000101550582235821</v>
      </c>
      <c r="F30" s="30" t="n">
        <v>0.002</v>
      </c>
      <c r="G30" s="31" t="str">
        <f aca="false">IF($E30="","",IF(ABS($E30)&lt;=$F30,"PASS","CHECK"))</f>
        <v>PASS</v>
      </c>
    </row>
    <row r="31" customFormat="false" ht="15" hidden="false" customHeight="false" outlineLevel="0" collapsed="false">
      <c r="A31" s="24" t="s">
        <v>190</v>
      </c>
      <c r="B31" s="5" t="s">
        <v>227</v>
      </c>
      <c r="C31" s="35" t="n">
        <v>4</v>
      </c>
      <c r="D31" s="36" t="n">
        <f aca="false">XRay!$B$20</f>
        <v>4</v>
      </c>
      <c r="E31" s="26" t="n">
        <f aca="false">IF(OR($C31="",$D31=""),"",$D31-$C31)</f>
        <v>0</v>
      </c>
      <c r="F31" s="30" t="n">
        <v>0.1</v>
      </c>
      <c r="G31" s="31" t="str">
        <f aca="false">IF($E31="","",IF(ABS($E31)&lt;=$F31,"PASS","CHECK"))</f>
        <v>PASS</v>
      </c>
    </row>
    <row r="32" customFormat="false" ht="15" hidden="false" customHeight="false" outlineLevel="0" collapsed="false">
      <c r="A32" s="24" t="s">
        <v>230</v>
      </c>
      <c r="B32" s="5" t="s">
        <v>227</v>
      </c>
      <c r="C32" s="37" t="n">
        <v>2.1</v>
      </c>
      <c r="D32" s="38" t="n">
        <f aca="false">XRay!$B$21</f>
        <v>2.05550730381014</v>
      </c>
      <c r="E32" s="27" t="n">
        <f aca="false">IF(OR($C32="",$D32=""),"",$D32-$C32)</f>
        <v>-0.0444926961898577</v>
      </c>
      <c r="F32" s="30" t="n">
        <v>0.05</v>
      </c>
      <c r="G32" s="31" t="str">
        <f aca="false">IF($E32="","",IF(ABS($E32)&lt;=$F32,"PASS","CHECK"))</f>
        <v>PASS</v>
      </c>
    </row>
    <row r="33" customFormat="false" ht="15" hidden="false" customHeight="false" outlineLevel="0" collapsed="false">
      <c r="A33" s="24" t="s">
        <v>231</v>
      </c>
      <c r="B33" s="5" t="s">
        <v>227</v>
      </c>
      <c r="C33" s="8" t="n">
        <v>0.669</v>
      </c>
      <c r="D33" s="32" t="n">
        <f aca="false">XRay!$B$22</f>
        <v>0.668589407446251</v>
      </c>
      <c r="E33" s="15" t="n">
        <f aca="false">IF(OR($C33="",$D33=""),"",$D33-$C33)</f>
        <v>-0.000410592553749423</v>
      </c>
      <c r="F33" s="30" t="n">
        <v>0.0015</v>
      </c>
      <c r="G33" s="31" t="str">
        <f aca="false">IF($E33="","",IF(ABS($E33)&lt;=$F33,"PASS","CHECK"))</f>
        <v>PASS</v>
      </c>
    </row>
    <row r="34" customFormat="false" ht="15" hidden="false" customHeight="false" outlineLevel="0" collapsed="false">
      <c r="A34" s="24" t="s">
        <v>232</v>
      </c>
      <c r="B34" s="5" t="s">
        <v>227</v>
      </c>
      <c r="C34" s="8" t="n">
        <v>0.915</v>
      </c>
      <c r="D34" s="32" t="n">
        <f aca="false">XRay!$B$23</f>
        <v>0.915049816465653</v>
      </c>
      <c r="E34" s="15" t="n">
        <f aca="false">IF(OR($C34="",$D34=""),"",$D34-$C34)</f>
        <v>4.98164656528299E-005</v>
      </c>
      <c r="F34" s="30" t="n">
        <v>0.0015</v>
      </c>
      <c r="G34" s="31" t="str">
        <f aca="false">IF($E34="","",IF(ABS($E34)&lt;=$F34,"PASS","CHECK"))</f>
        <v>PASS</v>
      </c>
    </row>
    <row r="35" customFormat="false" ht="15" hidden="false" customHeight="false" outlineLevel="0" collapsed="false">
      <c r="A35" s="24" t="s">
        <v>233</v>
      </c>
      <c r="B35" s="5" t="s">
        <v>227</v>
      </c>
      <c r="C35" s="8" t="n">
        <v>0.669</v>
      </c>
      <c r="D35" s="32" t="n">
        <f aca="false">XRay!$C$41</f>
        <v>0.668589407446251</v>
      </c>
      <c r="E35" s="15" t="n">
        <f aca="false">IF(OR($C35="",$D35=""),"",$D35-$C35)</f>
        <v>-0.000410592553749423</v>
      </c>
      <c r="F35" s="30" t="n">
        <v>0.0015</v>
      </c>
      <c r="G35" s="31" t="str">
        <f aca="false">IF($E35="","",IF(ABS($E35)&lt;=$F35,"PASS","CHECK"))</f>
        <v>PASS</v>
      </c>
    </row>
    <row r="36" customFormat="false" ht="15" hidden="false" customHeight="false" outlineLevel="0" collapsed="false">
      <c r="A36" s="24" t="s">
        <v>234</v>
      </c>
      <c r="B36" s="5" t="s">
        <v>227</v>
      </c>
      <c r="C36" s="8" t="n">
        <v>0.154</v>
      </c>
      <c r="D36" s="32" t="n">
        <f aca="false">XRay!$C$42</f>
        <v>0.154037755637126</v>
      </c>
      <c r="E36" s="15" t="n">
        <f aca="false">IF(OR($C36="",$D36=""),"",$D36-$C36)</f>
        <v>3.77556371263799E-005</v>
      </c>
      <c r="F36" s="30" t="n">
        <v>0.0015</v>
      </c>
      <c r="G36" s="31" t="str">
        <f aca="false">IF($E36="","",IF(ABS($E36)&lt;=$F36,"PASS","CHECK"))</f>
        <v>PASS</v>
      </c>
    </row>
    <row r="37" customFormat="false" ht="15" hidden="false" customHeight="false" outlineLevel="0" collapsed="false">
      <c r="A37" s="24" t="s">
        <v>235</v>
      </c>
      <c r="B37" s="5" t="s">
        <v>227</v>
      </c>
      <c r="C37" s="8" t="n">
        <v>0.092</v>
      </c>
      <c r="D37" s="32" t="n">
        <f aca="false">XRay!$C$43</f>
        <v>0.0924226533822758</v>
      </c>
      <c r="E37" s="15" t="n">
        <f aca="false">IF(OR($C37="",$D37=""),"",$D37-$C37)</f>
        <v>0.000422653382275831</v>
      </c>
      <c r="F37" s="30" t="n">
        <v>0.0015</v>
      </c>
      <c r="G37" s="31" t="str">
        <f aca="false">IF($E37="","",IF(ABS($E37)&lt;=$F37,"PASS","CHECK"))</f>
        <v>PASS</v>
      </c>
    </row>
    <row r="38" customFormat="false" ht="15" hidden="false" customHeight="false" outlineLevel="0" collapsed="false">
      <c r="A38" s="24" t="s">
        <v>236</v>
      </c>
      <c r="B38" s="5" t="s">
        <v>227</v>
      </c>
      <c r="C38" s="8" t="n">
        <v>0.085</v>
      </c>
      <c r="D38" s="32" t="n">
        <f aca="false">XRay!$C$44</f>
        <v>0.0849501835343472</v>
      </c>
      <c r="E38" s="15" t="n">
        <f aca="false">IF(OR($C38="",$D38=""),"",$D38-$C38)</f>
        <v>-4.98164656528577E-005</v>
      </c>
      <c r="F38" s="30" t="n">
        <v>0.0015</v>
      </c>
      <c r="G38" s="31" t="str">
        <f aca="false">IF($E38="","",IF(ABS($E38)&lt;=$F38,"PASS","CHECK"))</f>
        <v>PASS</v>
      </c>
    </row>
    <row r="40" customFormat="false" ht="15" hidden="false" customHeight="false" outlineLevel="0" collapsed="false">
      <c r="A40" s="2" t="s">
        <v>237</v>
      </c>
    </row>
    <row r="41" customFormat="false" ht="23.85" hidden="false" customHeight="false" outlineLevel="0" collapsed="false">
      <c r="A41" s="10" t="s">
        <v>238</v>
      </c>
      <c r="B41" s="10" t="s">
        <v>239</v>
      </c>
      <c r="C41" s="10" t="s">
        <v>240</v>
      </c>
    </row>
    <row r="42" customFormat="false" ht="15" hidden="false" customHeight="false" outlineLevel="0" collapsed="false">
      <c r="A42" s="24" t="s">
        <v>241</v>
      </c>
      <c r="B42" s="24" t="s">
        <v>242</v>
      </c>
      <c r="C42" s="5" t="s">
        <v>243</v>
      </c>
    </row>
    <row r="43" customFormat="false" ht="15" hidden="false" customHeight="false" outlineLevel="0" collapsed="false">
      <c r="A43" s="24" t="s">
        <v>208</v>
      </c>
      <c r="B43" s="24" t="s">
        <v>244</v>
      </c>
      <c r="C43" s="5" t="s">
        <v>245</v>
      </c>
    </row>
    <row r="44" customFormat="false" ht="15" hidden="false" customHeight="false" outlineLevel="0" collapsed="false">
      <c r="A44" s="24" t="s">
        <v>246</v>
      </c>
      <c r="B44" s="24" t="s">
        <v>247</v>
      </c>
      <c r="C44" s="5" t="s">
        <v>248</v>
      </c>
    </row>
    <row r="45" customFormat="false" ht="15" hidden="false" customHeight="false" outlineLevel="0" collapsed="false">
      <c r="A45" s="24" t="s">
        <v>249</v>
      </c>
      <c r="B45" s="24" t="s">
        <v>250</v>
      </c>
      <c r="C45" s="5" t="s">
        <v>251</v>
      </c>
    </row>
    <row r="46" customFormat="false" ht="15" hidden="false" customHeight="false" outlineLevel="0" collapsed="false">
      <c r="A46" s="24" t="s">
        <v>252</v>
      </c>
      <c r="B46" s="24" t="s">
        <v>253</v>
      </c>
      <c r="C46" s="5" t="s">
        <v>254</v>
      </c>
    </row>
    <row r="47" customFormat="false" ht="15" hidden="false" customHeight="false" outlineLevel="0" collapsed="false">
      <c r="A47" s="24" t="s">
        <v>255</v>
      </c>
      <c r="B47" s="24" t="s">
        <v>256</v>
      </c>
      <c r="C47" s="5" t="s">
        <v>257</v>
      </c>
    </row>
    <row r="49" customFormat="false" ht="15" hidden="false" customHeight="false" outlineLevel="0" collapsed="false">
      <c r="A49" s="2" t="s">
        <v>258</v>
      </c>
    </row>
    <row r="50" customFormat="false" ht="25.5" hidden="false" customHeight="true" outlineLevel="0" collapsed="false">
      <c r="A50" s="39" t="s">
        <v>259</v>
      </c>
      <c r="B50" s="39"/>
      <c r="C50" s="39"/>
      <c r="D50" s="39"/>
      <c r="E50" s="39"/>
      <c r="F50" s="39"/>
      <c r="G50" s="39"/>
    </row>
    <row r="51" customFormat="false" ht="25.5" hidden="false" customHeight="true" outlineLevel="0" collapsed="false">
      <c r="A51" s="39" t="s">
        <v>260</v>
      </c>
      <c r="B51" s="39"/>
      <c r="C51" s="39"/>
      <c r="D51" s="39"/>
      <c r="E51" s="39"/>
      <c r="F51" s="39"/>
      <c r="G51" s="39"/>
    </row>
    <row r="52" customFormat="false" ht="25.5" hidden="false" customHeight="true" outlineLevel="0" collapsed="false">
      <c r="A52" s="39" t="s">
        <v>261</v>
      </c>
      <c r="B52" s="39"/>
      <c r="C52" s="39"/>
      <c r="D52" s="39"/>
      <c r="E52" s="39"/>
      <c r="F52" s="39"/>
      <c r="G52" s="39"/>
    </row>
    <row r="53" customFormat="false" ht="25.5" hidden="false" customHeight="true" outlineLevel="0" collapsed="false">
      <c r="A53" s="39" t="s">
        <v>262</v>
      </c>
      <c r="B53" s="39"/>
      <c r="C53" s="39"/>
      <c r="D53" s="39"/>
      <c r="E53" s="39"/>
      <c r="F53" s="39"/>
      <c r="G53" s="39"/>
    </row>
    <row r="54" customFormat="false" ht="25.5" hidden="false" customHeight="true" outlineLevel="0" collapsed="false">
      <c r="A54" s="39" t="s">
        <v>263</v>
      </c>
      <c r="B54" s="39"/>
      <c r="C54" s="39"/>
      <c r="D54" s="39"/>
      <c r="E54" s="39"/>
      <c r="F54" s="39"/>
      <c r="G54" s="39"/>
    </row>
    <row r="55" customFormat="false" ht="25.5" hidden="false" customHeight="true" outlineLevel="0" collapsed="false">
      <c r="A55" s="39" t="s">
        <v>264</v>
      </c>
      <c r="B55" s="39"/>
      <c r="C55" s="39"/>
      <c r="D55" s="39"/>
      <c r="E55" s="39"/>
      <c r="F55" s="39"/>
      <c r="G55" s="39"/>
    </row>
  </sheetData>
  <mergeCells count="6">
    <mergeCell ref="A50:G50"/>
    <mergeCell ref="A51:G51"/>
    <mergeCell ref="A52:G52"/>
    <mergeCell ref="A53:G53"/>
    <mergeCell ref="A54:G54"/>
    <mergeCell ref="A55:G55"/>
  </mergeCells>
  <conditionalFormatting sqref="G5:G3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2026-07-02T09:04:10Z</dcterms:created>
  <dc:creator>openpyxl</dc:creator>
  <dc:description/>
  <dc:language>en-GB</dc:language>
  <cp:lastModifiedBy/>
  <dcterms:modified xsi:type="dcterms:W3CDTF">2026-07-02T10:04:18Z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